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4F87CFCA-5CB6-43AD-B2B0-2DB945CA6AD7}" xr6:coauthVersionLast="47" xr6:coauthVersionMax="47" xr10:uidLastSave="{00000000-0000-0000-0000-000000000000}"/>
  <bookViews>
    <workbookView xWindow="-108" yWindow="-108" windowWidth="30936" windowHeight="16776" tabRatio="724" firstSheet="1" activeTab="4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Meta.Values!$A$3:$K$1472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28" i="1" l="1"/>
  <c r="B1428" i="1"/>
  <c r="C1428" i="1"/>
  <c r="D1428" i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D93" i="38" s="1"/>
  <c r="C1" i="38"/>
  <c r="C93" i="38" s="1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H18" i="40" l="1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7" i="38"/>
  <c r="E96" i="38"/>
  <c r="E95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6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1" i="38"/>
  <c r="D31" i="37"/>
  <c r="D88" i="38"/>
  <c r="D97" i="38"/>
  <c r="D11" i="38"/>
  <c r="D86" i="38"/>
  <c r="D96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5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5" i="38"/>
  <c r="C31" i="32"/>
  <c r="C69" i="38"/>
  <c r="C88" i="38"/>
  <c r="C80" i="38"/>
  <c r="C97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9" i="1"/>
  <c r="B1470" i="1"/>
  <c r="D1470" i="1"/>
  <c r="B1433" i="1"/>
  <c r="E1470" i="1"/>
  <c r="C1470" i="1"/>
  <c r="E1423" i="1"/>
  <c r="B552" i="1"/>
  <c r="B1422" i="1"/>
  <c r="B1415" i="1"/>
  <c r="E1471" i="1"/>
  <c r="B1403" i="1"/>
  <c r="E1469" i="1"/>
  <c r="E1463" i="1"/>
  <c r="E1395" i="1"/>
  <c r="D1469" i="1"/>
  <c r="E1459" i="1"/>
  <c r="E125" i="1"/>
  <c r="E1458" i="1"/>
  <c r="B1384" i="1"/>
  <c r="B1469" i="1"/>
  <c r="B519" i="1"/>
  <c r="B613" i="1"/>
  <c r="B253" i="1"/>
  <c r="B1391" i="1"/>
  <c r="B658" i="1"/>
  <c r="E1457" i="1"/>
  <c r="E1383" i="1"/>
  <c r="E1468" i="1"/>
  <c r="B641" i="1"/>
  <c r="B1456" i="1"/>
  <c r="B1378" i="1"/>
  <c r="D1468" i="1"/>
  <c r="E1454" i="1"/>
  <c r="B1340" i="1"/>
  <c r="C1468" i="1"/>
  <c r="E1333" i="1"/>
  <c r="B1468" i="1"/>
  <c r="B1443" i="1"/>
  <c r="B1460" i="1"/>
  <c r="B1442" i="1"/>
  <c r="B1309" i="1"/>
  <c r="E1467" i="1"/>
  <c r="B1285" i="1"/>
  <c r="E1441" i="1"/>
  <c r="B1302" i="1"/>
  <c r="D1467" i="1"/>
  <c r="B653" i="1"/>
  <c r="B1436" i="1"/>
  <c r="B1296" i="1"/>
  <c r="C1467" i="1"/>
  <c r="B1448" i="1"/>
  <c r="B639" i="1"/>
  <c r="B1471" i="1"/>
  <c r="B1429" i="1"/>
  <c r="B1269" i="1"/>
  <c r="B1467" i="1"/>
  <c r="B1282" i="1"/>
  <c r="E1440" i="1"/>
  <c r="D1440" i="1"/>
  <c r="C1440" i="1"/>
  <c r="B1440" i="1"/>
  <c r="E1408" i="1"/>
  <c r="E1280" i="1"/>
  <c r="E1272" i="1"/>
  <c r="E1450" i="1"/>
  <c r="E1393" i="1"/>
  <c r="E1446" i="1"/>
  <c r="E1294" i="1"/>
  <c r="E1436" i="1"/>
  <c r="E1376" i="1"/>
  <c r="D1294" i="1"/>
  <c r="C1294" i="1"/>
  <c r="E1432" i="1"/>
  <c r="E1336" i="1"/>
  <c r="B1294" i="1"/>
  <c r="E1430" i="1"/>
  <c r="E1379" i="1"/>
  <c r="B1235" i="1"/>
  <c r="E1211" i="1"/>
  <c r="E1453" i="1"/>
  <c r="E1411" i="1"/>
  <c r="E1328" i="1"/>
  <c r="D1211" i="1"/>
  <c r="E1409" i="1"/>
  <c r="E1324" i="1"/>
  <c r="C1211" i="1"/>
  <c r="E1447" i="1"/>
  <c r="B1409" i="1"/>
  <c r="B1321" i="1"/>
  <c r="B1211" i="1"/>
  <c r="D1438" i="1"/>
  <c r="D1281" i="1"/>
  <c r="E1323" i="1"/>
  <c r="D1458" i="1"/>
  <c r="E1404" i="1"/>
  <c r="E1375" i="1"/>
  <c r="E1267" i="1"/>
  <c r="E1429" i="1"/>
  <c r="E1365" i="1"/>
  <c r="D1320" i="1"/>
  <c r="E1401" i="1"/>
  <c r="E1364" i="1"/>
  <c r="E1319" i="1"/>
  <c r="E1234" i="1"/>
  <c r="E1449" i="1"/>
  <c r="E1427" i="1"/>
  <c r="E1400" i="1"/>
  <c r="E1363" i="1"/>
  <c r="E1315" i="1"/>
  <c r="E1228" i="1"/>
  <c r="D1448" i="1"/>
  <c r="E1425" i="1"/>
  <c r="E1397" i="1"/>
  <c r="E1359" i="1"/>
  <c r="E1312" i="1"/>
  <c r="E1224" i="1"/>
  <c r="E1357" i="1"/>
  <c r="E1220" i="1"/>
  <c r="D1355" i="1"/>
  <c r="E1219" i="1"/>
  <c r="E1466" i="1"/>
  <c r="E1445" i="1"/>
  <c r="E1421" i="1"/>
  <c r="E1392" i="1"/>
  <c r="E1353" i="1"/>
  <c r="D1300" i="1"/>
  <c r="D1171" i="1"/>
  <c r="D1417" i="1"/>
  <c r="E1348" i="1"/>
  <c r="E1299" i="1"/>
  <c r="D728" i="1"/>
  <c r="E1462" i="1"/>
  <c r="E1442" i="1"/>
  <c r="E1388" i="1"/>
  <c r="E1461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7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7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6" i="1"/>
  <c r="D1456" i="1"/>
  <c r="D1436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7" i="1"/>
  <c r="D1465" i="1"/>
  <c r="D1446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4" i="1"/>
  <c r="D1455" i="1"/>
  <c r="D1435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1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3" i="1"/>
  <c r="D1454" i="1"/>
  <c r="D1444" i="1"/>
  <c r="D1433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3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4" i="1"/>
  <c r="D1462" i="1"/>
  <c r="D1453" i="1"/>
  <c r="D1432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2" i="1"/>
  <c r="D1431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5" i="1"/>
  <c r="D1461" i="1"/>
  <c r="D1451" i="1"/>
  <c r="D1442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60" i="1"/>
  <c r="D1430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50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9" i="1"/>
  <c r="D1441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9" i="1"/>
  <c r="D1472" i="1"/>
  <c r="D1449" i="1"/>
  <c r="D1439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2" i="1"/>
  <c r="E183" i="1"/>
  <c r="D168" i="1"/>
  <c r="D151" i="1"/>
  <c r="D131" i="1"/>
  <c r="D110" i="1"/>
  <c r="D84" i="1"/>
  <c r="D41" i="1"/>
  <c r="C1458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3" i="1"/>
  <c r="B1455" i="1"/>
  <c r="B1451" i="1"/>
  <c r="B1452" i="1"/>
  <c r="B1446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8" i="1"/>
  <c r="B1438" i="1"/>
  <c r="B1431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3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5" i="1"/>
  <c r="B1437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7" i="1"/>
  <c r="B1430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2" i="1"/>
  <c r="B1462" i="1"/>
  <c r="B1450" i="1"/>
  <c r="B1444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1" i="1"/>
  <c r="B1449" i="1"/>
  <c r="B1435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4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6" i="1"/>
  <c r="B1454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5" i="1"/>
  <c r="B1459" i="1"/>
  <c r="B1447" i="1"/>
  <c r="B1441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4" i="1"/>
  <c r="B1439" i="1"/>
  <c r="B1432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6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1" i="1"/>
  <c r="C1216" i="1"/>
  <c r="C425" i="1"/>
  <c r="C273" i="1"/>
  <c r="C1456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9" i="1"/>
  <c r="C1447" i="1"/>
  <c r="C1464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3" i="1"/>
  <c r="C1460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4" i="1"/>
  <c r="C1452" i="1"/>
  <c r="C1465" i="1"/>
  <c r="C1348" i="1"/>
  <c r="C1365" i="1"/>
  <c r="C1382" i="1"/>
  <c r="C1412" i="1"/>
  <c r="C1430" i="1"/>
  <c r="C1448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9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6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1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4" i="1"/>
  <c r="C1457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3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5" i="1"/>
  <c r="C1449" i="1"/>
  <c r="C162" i="1"/>
  <c r="C184" i="1"/>
  <c r="C1442" i="1"/>
  <c r="C1260" i="1"/>
  <c r="C1085" i="1"/>
  <c r="C980" i="1"/>
  <c r="C452" i="1"/>
  <c r="C1303" i="1"/>
  <c r="C1148" i="1"/>
  <c r="C1091" i="1"/>
  <c r="C1025" i="1"/>
  <c r="C544" i="1"/>
  <c r="C202" i="1"/>
  <c r="C90" i="1"/>
  <c r="C1462" i="1"/>
  <c r="C1241" i="1"/>
  <c r="C1204" i="1"/>
  <c r="C1127" i="1"/>
  <c r="C513" i="1"/>
  <c r="C394" i="1"/>
  <c r="C1471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5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8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1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5" i="1"/>
  <c r="C1432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6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3" i="1"/>
  <c r="C1215" i="1"/>
  <c r="C576" i="1"/>
  <c r="C434" i="1"/>
  <c r="C175" i="1"/>
  <c r="C1450" i="1"/>
  <c r="C1459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4" i="1"/>
  <c r="C1437" i="1"/>
  <c r="C1358" i="1"/>
  <c r="C1272" i="1"/>
  <c r="C1169" i="1"/>
  <c r="C931" i="1"/>
  <c r="C1463" i="1"/>
  <c r="C1431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4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5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8" i="1"/>
  <c r="E1420" i="1"/>
  <c r="E1403" i="1"/>
  <c r="E1373" i="1"/>
  <c r="E1356" i="1"/>
  <c r="E1339" i="1"/>
  <c r="E1443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1" i="1"/>
  <c r="E1435" i="1"/>
  <c r="E1439" i="1"/>
  <c r="E1444" i="1"/>
  <c r="E1448" i="1"/>
  <c r="E1452" i="1"/>
  <c r="E1456" i="1"/>
  <c r="E1460" i="1"/>
  <c r="E1464" i="1"/>
  <c r="E1472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1" i="1"/>
  <c r="E1433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5" i="1"/>
  <c r="E1437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<sst xmlns="http://schemas.openxmlformats.org/spreadsheetml/2006/main" count="10552" uniqueCount="2499">
  <si>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</si>
  <si>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</si>
  <si>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</si>
  <si>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</si>
  <si>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</si>
  <si>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</si>
  <si>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</si>
  <si>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</si>
  <si>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</si>
  <si>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</si>
  <si>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</si>
  <si>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</si>
  <si>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</si>
  <si>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</si>
  <si>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</si>
  <si>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</si>
  <si>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</si>
  <si>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</si>
  <si>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</si>
  <si>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</si>
  <si>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</si>
  <si>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</si>
  <si>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</si>
  <si>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</si>
  <si>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</si>
  <si>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</si>
  <si>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</si>
  <si>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</si>
  <si>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</si>
  <si>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</si>
  <si>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</si>
  <si>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</si>
  <si>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</si>
  <si>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</si>
  <si>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</si>
  <si>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</si>
  <si>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</si>
  <si>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</si>
  <si>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</si>
  <si>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</si>
  <si>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</si>
  <si>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</si>
  <si>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</si>
  <si>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</si>
  <si>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</si>
  <si>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</si>
  <si>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</si>
  <si>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</si>
  <si>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</si>
  <si>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</si>
  <si>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</si>
  <si>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</si>
  <si>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</si>
  <si>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</si>
  <si>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</si>
  <si>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</si>
  <si>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</si>
  <si>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</si>
  <si>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</si>
  <si>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</si>
  <si>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</si>
  <si>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</si>
  <si>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</si>
  <si>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</si>
  <si>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</si>
  <si>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</si>
  <si>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</si>
  <si>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</si>
  <si>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</si>
  <si>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</si>
  <si>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</si>
  <si>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</si>
  <si>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</si>
  <si>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</si>
  <si>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</si>
  <si>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</si>
  <si>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</si>
  <si>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</si>
  <si>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</si>
  <si>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</si>
  <si>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</si>
  <si>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</si>
  <si>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</si>
  <si>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</si>
  <si>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</si>
  <si>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</si>
  <si>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</si>
  <si>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</si>
  <si>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</si>
  <si>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</si>
  <si>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</si>
  <si>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</si>
  <si>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</si>
  <si>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</si>
  <si>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</si>
  <si>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</si>
  <si>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</si>
  <si>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</si>
  <si>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</si>
  <si>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</si>
  <si>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</si>
  <si>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</si>
  <si>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</si>
  <si>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</si>
  <si>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</si>
  <si>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</si>
  <si>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</si>
  <si>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</si>
  <si>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</si>
  <si>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</si>
  <si>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</si>
  <si>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</si>
  <si>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</si>
  <si>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</si>
  <si>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</si>
  <si>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</si>
  <si>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</si>
  <si>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</si>
  <si>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</si>
  <si>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</si>
  <si>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</si>
  <si>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</si>
  <si>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</si>
  <si>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</si>
  <si>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</si>
  <si>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</si>
  <si>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</si>
  <si>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</si>
  <si>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</si>
  <si>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</si>
  <si>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</si>
  <si>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</si>
  <si>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</si>
  <si>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</si>
  <si>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</si>
  <si>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</si>
  <si>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</si>
  <si>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</si>
  <si>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</si>
  <si>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</si>
  <si>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</si>
  <si>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</si>
  <si>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</si>
  <si>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</si>
  <si>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</si>
  <si>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</si>
  <si>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</si>
  <si>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</si>
  <si>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</si>
  <si>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</si>
  <si>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</si>
  <si>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</si>
  <si>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</si>
  <si>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</si>
  <si>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</si>
  <si>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</si>
  <si>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</si>
  <si>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</si>
  <si>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</si>
  <si>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</si>
  <si>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</si>
  <si>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</si>
  <si>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</si>
  <si>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</si>
  <si>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</si>
  <si>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</si>
  <si>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</si>
  <si>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</si>
  <si>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</si>
  <si>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</si>
  <si>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</si>
  <si>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</si>
  <si>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</si>
  <si>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</si>
  <si>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</si>
  <si>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</si>
  <si>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</si>
  <si>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</si>
  <si>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</si>
  <si>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</si>
  <si>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</si>
  <si>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</si>
  <si>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</si>
  <si>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</si>
  <si>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</si>
  <si>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</si>
  <si>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</si>
  <si>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</si>
  <si>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</si>
  <si>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</si>
  <si>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</si>
  <si>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</si>
  <si>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</si>
  <si>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</si>
  <si>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</si>
  <si>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</si>
  <si>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</si>
  <si>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</si>
  <si>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</si>
  <si>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</si>
  <si>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</si>
  <si>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</si>
  <si>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</si>
  <si>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</si>
  <si>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</si>
  <si>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</si>
  <si>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</si>
  <si>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</si>
  <si>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</si>
  <si>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</si>
  <si>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</si>
  <si>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</si>
  <si>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</si>
  <si>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</si>
  <si>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</si>
  <si>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</si>
  <si>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</si>
  <si>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</si>
  <si>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</si>
  <si>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</si>
  <si>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</si>
  <si>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</si>
  <si>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</si>
  <si>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</si>
  <si>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</si>
  <si>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</si>
  <si>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</si>
  <si>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</si>
  <si>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</si>
  <si>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</si>
  <si>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</si>
  <si>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</si>
  <si>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</si>
  <si>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</si>
  <si>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</si>
  <si>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</si>
  <si>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</si>
  <si>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</si>
  <si>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</si>
  <si>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</si>
  <si>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</si>
  <si>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</si>
  <si>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</si>
  <si>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</si>
  <si>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</si>
  <si>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</si>
  <si>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</si>
  <si>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</si>
  <si>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</si>
  <si>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</si>
  <si>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</si>
  <si>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</si>
  <si>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</si>
  <si>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</si>
  <si>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</si>
  <si>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</si>
  <si>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</si>
  <si>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</si>
  <si>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</si>
  <si>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</si>
  <si>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</si>
  <si>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</si>
  <si>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</si>
  <si>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</si>
  <si>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</si>
  <si>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</si>
  <si>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</si>
  <si>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</si>
  <si>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</si>
  <si>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</si>
  <si>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</si>
  <si>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</si>
  <si>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</si>
  <si>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</si>
  <si>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</si>
  <si>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</si>
  <si>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</si>
  <si>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</si>
  <si>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</si>
  <si>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</si>
  <si>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</si>
  <si>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</si>
  <si>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</si>
  <si>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</si>
  <si>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</si>
  <si>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</si>
  <si>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</si>
  <si>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</si>
  <si>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</si>
  <si>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</si>
  <si>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</si>
  <si>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</si>
  <si>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</si>
  <si>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</si>
  <si>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</si>
  <si>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</si>
  <si>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</si>
  <si>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</si>
  <si>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</si>
  <si>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</si>
  <si>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</si>
  <si>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</si>
  <si>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</si>
  <si>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</si>
  <si>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</si>
  <si>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</si>
  <si>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</si>
  <si>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</si>
  <si>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</si>
  <si>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</si>
  <si>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</si>
  <si>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</si>
  <si>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</si>
  <si>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</si>
  <si>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</si>
  <si>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</si>
  <si>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</si>
  <si>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</si>
  <si>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</si>
  <si>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</si>
  <si>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</si>
  <si>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</si>
  <si>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</si>
  <si>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</si>
  <si>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</si>
  <si>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</si>
  <si>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</si>
  <si>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</si>
  <si>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</si>
  <si>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</si>
  <si>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</si>
  <si>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</si>
  <si>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</si>
  <si>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</si>
  <si>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</si>
  <si>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</si>
  <si>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</si>
  <si>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</si>
  <si>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</si>
  <si>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</si>
  <si>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</si>
  <si>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</si>
  <si>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</si>
  <si>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</si>
  <si>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</si>
  <si>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</si>
  <si>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</si>
  <si>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</si>
  <si>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</si>
  <si>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</si>
  <si>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</si>
  <si>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</si>
  <si>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</si>
  <si>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</si>
  <si>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</si>
  <si>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</si>
  <si>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</si>
  <si>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</si>
  <si>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</si>
  <si>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</si>
  <si>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</si>
  <si>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</si>
  <si>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</si>
  <si>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</si>
  <si>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</si>
  <si>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</si>
  <si>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</si>
  <si>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</si>
  <si>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</si>
  <si>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</si>
  <si>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</si>
  <si>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</si>
  <si>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</si>
  <si>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</si>
  <si>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</si>
  <si>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</si>
  <si>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</si>
  <si>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</si>
  <si>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</si>
  <si>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</si>
  <si>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</si>
  <si>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</si>
  <si>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</si>
  <si>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</si>
  <si>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</si>
  <si>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</si>
  <si>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</si>
  <si>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</si>
  <si>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</si>
  <si>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</si>
  <si>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</si>
  <si>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</si>
  <si>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</si>
  <si>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</si>
  <si>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</si>
  <si>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</si>
  <si>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</si>
  <si>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</si>
  <si>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</si>
  <si>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</si>
  <si>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</si>
  <si>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</si>
  <si>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</si>
  <si>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</si>
  <si>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</si>
  <si>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</si>
  <si>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</si>
  <si>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</si>
  <si>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</si>
  <si>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</si>
  <si>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</si>
  <si>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</si>
  <si>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</si>
  <si>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</si>
  <si>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</si>
  <si>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</si>
  <si>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</si>
  <si>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</si>
  <si>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</si>
  <si>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</si>
  <si>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</si>
  <si>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</si>
  <si>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</si>
  <si>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</si>
  <si>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</si>
  <si>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</si>
  <si>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</si>
  <si>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</si>
  <si>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</si>
  <si>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</si>
  <si>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</si>
  <si>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</si>
  <si>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</si>
  <si>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</si>
  <si>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</si>
  <si>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</si>
  <si>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</si>
  <si>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</si>
  <si>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</si>
  <si>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</si>
  <si>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</si>
  <si>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</si>
  <si>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</si>
  <si>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</si>
  <si>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</si>
  <si>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</si>
  <si>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</si>
  <si>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</si>
  <si>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</si>
  <si>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</si>
  <si>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</si>
  <si>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</si>
  <si>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</si>
  <si>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</si>
  <si>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</si>
  <si>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</si>
  <si>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</si>
  <si>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</si>
  <si>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</si>
  <si>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</si>
  <si>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</si>
  <si>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</si>
  <si>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</si>
  <si>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</si>
  <si>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</si>
  <si>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</si>
  <si>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</si>
  <si>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</si>
  <si>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</si>
  <si>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</si>
  <si>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</si>
  <si>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</si>
  <si>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</si>
  <si>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</si>
  <si>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</si>
  <si>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</si>
  <si>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</si>
  <si>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</si>
  <si>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</si>
  <si>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</si>
  <si>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</si>
  <si>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</si>
  <si>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</si>
  <si>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</si>
  <si>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</si>
  <si>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</si>
  <si>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</si>
  <si>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</si>
  <si>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</si>
  <si>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</si>
  <si>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</si>
  <si>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</si>
  <si>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</si>
  <si>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</si>
  <si>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</si>
  <si>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</si>
  <si>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</si>
  <si>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</si>
  <si>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</si>
  <si>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</si>
  <si>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</si>
  <si>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</si>
  <si>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</si>
  <si>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</si>
  <si>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</si>
  <si>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</si>
  <si>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</si>
  <si>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</si>
  <si>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</si>
  <si>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</si>
  <si>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</si>
  <si>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</si>
  <si>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</si>
  <si>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</si>
  <si>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</si>
  <si>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</si>
  <si>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</si>
  <si>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</si>
  <si>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</si>
  <si>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</si>
  <si>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</si>
  <si>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</si>
  <si>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</si>
  <si>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</si>
  <si>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</si>
  <si>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</si>
  <si>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</si>
  <si>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</si>
  <si>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</si>
  <si>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</si>
  <si>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</si>
  <si>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</si>
  <si>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</si>
  <si>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</si>
  <si>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</si>
  <si>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</si>
  <si>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</si>
  <si>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</si>
  <si>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</si>
  <si>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</si>
  <si>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</si>
  <si>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</si>
  <si>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</si>
  <si>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</si>
  <si>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</si>
  <si>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</si>
  <si>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</si>
  <si>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</si>
  <si>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</si>
  <si>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</si>
  <si>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</si>
  <si>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</si>
  <si>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</si>
  <si>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</si>
  <si>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</si>
  <si>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</si>
  <si>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</si>
  <si>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</si>
  <si>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</si>
  <si>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</si>
  <si>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</si>
  <si>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</si>
  <si>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</si>
  <si>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</si>
  <si>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</si>
  <si>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</si>
  <si>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</si>
  <si>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</si>
  <si>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</si>
  <si>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</si>
  <si>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</si>
  <si>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</si>
  <si>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</si>
  <si>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</si>
  <si>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</si>
  <si>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</si>
  <si>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</si>
  <si>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</si>
  <si>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</si>
  <si>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</si>
  <si>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</si>
  <si>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</si>
  <si>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</si>
  <si>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</si>
  <si>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</si>
  <si>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</si>
  <si>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</si>
  <si>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</si>
  <si>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</si>
  <si>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</si>
  <si>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</si>
  <si>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</si>
  <si>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</si>
  <si>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</si>
  <si>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</si>
  <si>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</si>
  <si>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</si>
  <si>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</si>
  <si>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</si>
  <si>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</si>
  <si>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</si>
  <si>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</si>
  <si>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</si>
  <si>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</si>
  <si>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</si>
  <si>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</si>
  <si>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</si>
  <si>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</si>
  <si>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</si>
  <si>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</si>
  <si>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</si>
  <si>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</si>
  <si>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</si>
  <si>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</si>
  <si>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</si>
  <si>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</si>
  <si>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</si>
  <si>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</si>
  <si>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</si>
  <si>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</si>
  <si>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</si>
  <si>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</si>
  <si>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</si>
  <si>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</si>
  <si>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</si>
  <si>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</si>
  <si>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</si>
  <si>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</si>
  <si>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</si>
  <si>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</si>
  <si>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</si>
  <si>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</si>
  <si>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</si>
  <si>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</si>
  <si>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</si>
  <si>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</si>
  <si>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</si>
  <si>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</si>
  <si>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</si>
  <si>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</si>
  <si>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</si>
  <si>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</si>
  <si>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</si>
  <si>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</si>
  <si>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</si>
  <si>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</si>
  <si>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</si>
  <si>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</si>
  <si>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</si>
  <si>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</si>
  <si>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</si>
  <si>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</si>
  <si>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</si>
  <si>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</si>
  <si>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</si>
  <si>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</si>
  <si>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</si>
  <si>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</si>
  <si>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</si>
  <si>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</si>
  <si>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</si>
  <si>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</si>
  <si>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</si>
  <si>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</si>
  <si>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</si>
  <si>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</si>
  <si>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</si>
  <si>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</si>
  <si>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</si>
  <si>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</si>
  <si>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</si>
  <si>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</si>
  <si>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</si>
  <si>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</si>
  <si>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</si>
  <si>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</si>
  <si>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</si>
  <si>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</si>
  <si>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</si>
  <si>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</si>
  <si>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</si>
  <si>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</si>
  <si>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</si>
  <si>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</si>
  <si>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</si>
  <si>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</si>
  <si>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</si>
  <si>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</si>
  <si>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</si>
  <si>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</si>
  <si>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</si>
  <si>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</si>
  <si>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</si>
  <si>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</si>
  <si>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</si>
  <si>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</si>
  <si>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</si>
  <si>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</si>
  <si>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</si>
  <si>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</si>
  <si>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</si>
  <si>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</si>
  <si>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</si>
  <si>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</si>
  <si>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</si>
  <si>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</si>
  <si>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</si>
  <si>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</si>
  <si>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</si>
  <si>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</si>
  <si>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</si>
  <si>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</si>
  <si>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</si>
  <si>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</si>
  <si>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</si>
  <si>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</si>
  <si>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</si>
  <si>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</si>
  <si>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</si>
  <si>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</si>
  <si>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</si>
  <si>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</si>
  <si>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</si>
  <si>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</si>
  <si>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</si>
  <si>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</si>
  <si>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</si>
  <si>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</si>
  <si>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</si>
  <si>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</si>
  <si>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</si>
  <si>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</si>
  <si>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</si>
  <si>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</si>
  <si>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</si>
  <si>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</si>
  <si>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</si>
  <si>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</si>
  <si>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</si>
  <si>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</si>
  <si>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</si>
  <si>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</si>
  <si>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</si>
  <si>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</si>
  <si>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</si>
  <si>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</si>
  <si>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</si>
  <si>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</si>
  <si>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</si>
  <si>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</si>
  <si>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</si>
  <si>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</si>
  <si>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</si>
  <si>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</si>
  <si>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</si>
  <si>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</si>
  <si>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</si>
  <si>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</si>
  <si>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</si>
  <si>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</si>
  <si>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</si>
  <si>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</si>
  <si>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</si>
  <si>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</si>
  <si>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</si>
  <si>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</si>
  <si>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</si>
  <si>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</si>
  <si>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</si>
  <si>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</si>
  <si>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</si>
  <si>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</si>
  <si>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</si>
  <si>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</si>
  <si>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</si>
  <si>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</si>
  <si>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</si>
  <si>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</si>
  <si>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</si>
  <si>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</si>
  <si>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</si>
  <si>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</si>
  <si>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</si>
  <si>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</si>
  <si>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</si>
  <si>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</si>
  <si>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</si>
  <si>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</si>
  <si>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</si>
  <si>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</si>
  <si>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</si>
  <si>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</si>
  <si>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</si>
  <si>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</si>
  <si>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</si>
  <si>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</si>
  <si>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</si>
  <si>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</si>
  <si>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</si>
  <si>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</si>
  <si>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</si>
  <si>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</si>
  <si>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</si>
  <si>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</si>
  <si>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</si>
  <si>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</si>
  <si>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</si>
  <si>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</si>
  <si>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</si>
  <si>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</si>
  <si>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</si>
  <si>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</si>
  <si>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</si>
  <si>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</si>
  <si>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</si>
  <si>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</si>
  <si>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</si>
  <si>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</si>
  <si>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</si>
  <si>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</si>
  <si>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</si>
  <si>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</si>
  <si>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</si>
  <si>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</si>
  <si>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</si>
  <si>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</si>
  <si>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</si>
  <si>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</si>
  <si>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</si>
  <si>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</si>
  <si>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</si>
  <si>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</si>
  <si>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</si>
  <si>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</si>
  <si>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</si>
  <si>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</si>
  <si>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</si>
  <si>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</si>
  <si>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</si>
  <si>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</si>
  <si>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</si>
  <si>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</si>
  <si>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</si>
  <si>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</si>
  <si>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</si>
  <si>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</si>
  <si>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</si>
  <si>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</si>
  <si>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</si>
  <si>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</si>
  <si>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</si>
  <si>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</si>
  <si>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</si>
  <si>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</si>
  <si>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</si>
  <si>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</si>
  <si>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</si>
  <si>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</si>
  <si>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</si>
  <si>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</si>
  <si>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</si>
  <si>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</si>
  <si>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</si>
  <si>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</si>
  <si>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</si>
  <si>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</si>
  <si>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</si>
  <si>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</si>
  <si>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</si>
  <si>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</si>
  <si>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</si>
  <si>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</si>
  <si>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</si>
  <si>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</si>
  <si>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</si>
  <si>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</si>
  <si>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</si>
  <si>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</si>
  <si>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</si>
  <si>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</si>
  <si>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</si>
  <si>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</si>
  <si>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</si>
  <si>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</si>
  <si>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</si>
  <si>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</si>
  <si>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</si>
  <si>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</si>
  <si>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</si>
  <si>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</si>
  <si>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</si>
  <si>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</si>
  <si>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</si>
  <si>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</si>
  <si>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</si>
  <si>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</si>
  <si>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</si>
  <si>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</si>
  <si>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</si>
  <si>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</si>
  <si>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</si>
  <si>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</si>
  <si>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</si>
  <si>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</si>
  <si>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</si>
  <si>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</si>
  <si>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</si>
  <si>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</si>
  <si>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</si>
  <si>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</si>
  <si>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</si>
  <si>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</si>
  <si>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</si>
  <si>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</si>
  <si>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</si>
  <si>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</si>
  <si>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</si>
  <si>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</si>
  <si>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</si>
  <si>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</si>
  <si>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</si>
  <si>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</si>
  <si>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</si>
  <si>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</si>
  <si>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</si>
  <si>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</si>
  <si>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</si>
  <si>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</si>
  <si>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</si>
  <si>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</si>
  <si>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</si>
  <si>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</si>
  <si>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</si>
  <si>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</si>
  <si>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</si>
  <si>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</si>
  <si>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</si>
  <si>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</si>
  <si>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</si>
  <si>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</si>
  <si>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</si>
  <si>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</si>
  <si>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</si>
  <si>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</si>
  <si>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</si>
  <si>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</si>
  <si>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</si>
  <si>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</si>
  <si>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</si>
  <si>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</si>
  <si>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</si>
  <si>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</si>
  <si>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</si>
  <si>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</si>
  <si>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</si>
  <si>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</si>
  <si>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</si>
  <si>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</si>
  <si>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</si>
  <si>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</si>
  <si>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</si>
  <si>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</si>
  <si>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</si>
  <si>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</si>
  <si>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</si>
  <si>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</si>
  <si>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</si>
  <si>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</si>
  <si>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</si>
  <si>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</si>
  <si>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</si>
  <si>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</si>
  <si>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</si>
  <si>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</si>
  <si>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</si>
  <si>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</si>
  <si>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</si>
  <si>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</si>
  <si>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</si>
  <si>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</si>
  <si>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</si>
  <si>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</si>
  <si>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</si>
  <si>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</si>
  <si>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</si>
  <si>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</si>
  <si>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</si>
  <si>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</si>
  <si>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</si>
  <si>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</si>
  <si>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</si>
  <si>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</si>
  <si>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</si>
  <si>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</si>
  <si>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</si>
  <si>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</si>
  <si>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</si>
  <si>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</si>
  <si>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</si>
  <si>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</si>
  <si>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</si>
  <si>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</si>
  <si>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</si>
  <si>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</si>
  <si>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</si>
  <si>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</si>
  <si>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</si>
  <si>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</si>
  <si>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</si>
  <si>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</si>
  <si>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</si>
  <si>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</si>
  <si>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</si>
  <si>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</si>
  <si>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</si>
  <si>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</si>
  <si>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</si>
  <si>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</si>
  <si>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</si>
  <si>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</si>
  <si>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</si>
  <si>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</si>
  <si>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</si>
  <si>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</si>
  <si>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</si>
  <si>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</si>
  <si>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</si>
  <si>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</si>
  <si>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</si>
  <si>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</si>
  <si>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</si>
  <si>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</si>
  <si>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</si>
  <si>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</si>
  <si>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</si>
  <si>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</si>
  <si>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</si>
  <si>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</si>
  <si>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</si>
  <si>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</si>
  <si>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</si>
  <si>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</si>
  <si>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</si>
  <si>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</si>
  <si>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</si>
  <si>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</si>
  <si>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</si>
  <si>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</si>
  <si>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</si>
  <si>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</si>
  <si>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</si>
  <si>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</si>
  <si>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</si>
  <si>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</si>
  <si>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</si>
  <si>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</si>
  <si>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</si>
  <si>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</si>
  <si>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</si>
  <si>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</si>
  <si>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</si>
  <si>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</si>
  <si>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</si>
  <si>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</si>
  <si>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</si>
  <si>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</si>
  <si>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</si>
  <si>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</si>
  <si>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</si>
  <si>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</si>
  <si>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</si>
  <si>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</si>
  <si>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</si>
  <si>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</si>
  <si>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</si>
  <si>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</si>
  <si>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</si>
  <si>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</si>
  <si>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</si>
  <si>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</si>
  <si>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</si>
  <si>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</si>
  <si>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</si>
  <si>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</si>
  <si>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</si>
  <si>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</si>
  <si>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</si>
  <si>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</si>
  <si>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</si>
  <si>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</si>
  <si>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</si>
  <si>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</si>
  <si>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</si>
  <si>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</si>
  <si>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</si>
  <si>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</si>
  <si>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</si>
  <si>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</si>
  <si>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</si>
  <si>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</si>
  <si>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</si>
  <si>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</si>
  <si>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</si>
  <si>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</si>
  <si>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</si>
  <si>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</si>
  <si>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</si>
  <si>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</si>
  <si>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</si>
  <si>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</si>
  <si>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</si>
  <si>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</si>
  <si>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</si>
  <si>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</si>
  <si>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</si>
  <si>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</si>
  <si>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</si>
  <si>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</si>
  <si>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</si>
  <si>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</si>
  <si>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</si>
  <si>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</si>
  <si>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</si>
  <si>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</si>
  <si>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</si>
  <si>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</si>
  <si>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</si>
  <si>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</si>
  <si>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</si>
  <si>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</si>
  <si>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</si>
  <si>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</si>
  <si>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</si>
  <si>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</si>
  <si>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</si>
  <si>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</si>
  <si>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</si>
  <si>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</si>
  <si>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</si>
  <si>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</si>
  <si>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</si>
  <si>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</si>
  <si>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</si>
  <si>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</si>
  <si>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</si>
  <si>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</si>
  <si>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</si>
  <si>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</si>
  <si>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</si>
  <si>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</si>
  <si>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</si>
  <si>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</si>
  <si>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</si>
  <si>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</si>
  <si>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</si>
  <si>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</si>
  <si>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</si>
  <si>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</si>
  <si>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</si>
  <si>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</si>
  <si>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</si>
  <si>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</si>
  <si>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</si>
  <si>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</si>
  <si>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</si>
  <si>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</si>
  <si>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</si>
  <si>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</si>
  <si>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</si>
  <si>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</si>
  <si>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</si>
  <si>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</si>
  <si>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</si>
  <si>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</si>
  <si>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</si>
  <si>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</si>
  <si>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</si>
  <si>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</si>
  <si>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</si>
  <si>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</si>
  <si>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</si>
  <si>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</si>
  <si>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</si>
  <si>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</si>
  <si>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</si>
  <si>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</si>
  <si>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</si>
  <si>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</si>
  <si>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</si>
  <si>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</si>
  <si>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</si>
  <si>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</si>
  <si>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</si>
  <si>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</si>
  <si>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</si>
  <si>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</si>
  <si>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</si>
  <si>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</si>
  <si>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</si>
  <si>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</si>
  <si>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</si>
  <si>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</si>
  <si>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</si>
  <si>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</si>
  <si>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</si>
  <si>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</si>
  <si>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</si>
  <si>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</si>
  <si>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</si>
  <si>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</si>
  <si>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</si>
  <si>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</si>
  <si>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</si>
  <si>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</si>
  <si>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</si>
  <si>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</si>
  <si>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</si>
  <si>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</si>
  <si>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</si>
  <si>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</si>
  <si>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</si>
  <si>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</si>
  <si>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</si>
  <si>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</si>
  <si>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</si>
  <si>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</si>
  <si>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</si>
  <si>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</si>
  <si>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</si>
  <si>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</si>
  <si>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</si>
  <si>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</si>
  <si>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</si>
  <si>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</si>
  <si>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</si>
  <si>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</si>
  <si>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</si>
  <si>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</si>
  <si>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</si>
  <si>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</si>
  <si>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</si>
  <si>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</si>
  <si>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</si>
  <si>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</si>
  <si>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</si>
  <si>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</si>
  <si>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</si>
  <si>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</si>
  <si>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</si>
  <si>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</si>
  <si>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</si>
  <si>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</si>
  <si>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</si>
  <si>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</si>
  <si>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</si>
  <si>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</si>
  <si>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</si>
  <si>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</si>
  <si>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</si>
  <si>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</si>
  <si>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</si>
  <si>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</si>
  <si>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</si>
  <si>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</si>
  <si>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</si>
  <si>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</si>
  <si>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</si>
  <si>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</si>
  <si>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</si>
  <si>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</si>
  <si>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</si>
  <si>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</si>
  <si>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</si>
  <si>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</si>
  <si>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</si>
  <si>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</si>
  <si>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</si>
  <si>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</si>
  <si>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</si>
  <si>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</si>
  <si>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</si>
  <si>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</si>
  <si>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</si>
  <si>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</si>
  <si>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</si>
  <si>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</si>
  <si>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</si>
  <si>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</si>
  <si>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</si>
  <si>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</si>
  <si>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</si>
  <si>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</si>
  <si>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</si>
  <si>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</si>
  <si>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</si>
  <si>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</si>
  <si>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</si>
  <si>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</si>
  <si>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</si>
  <si>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</si>
  <si>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</si>
  <si>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</si>
  <si>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</si>
  <si>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</si>
  <si>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</si>
  <si>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</si>
  <si>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</si>
  <si>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</si>
  <si>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</si>
  <si>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</si>
  <si>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</si>
  <si>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</si>
  <si>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</si>
  <si>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</si>
  <si>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</si>
  <si>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</si>
  <si>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</si>
  <si>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</si>
  <si>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</si>
  <si>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</si>
  <si>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</si>
  <si>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</si>
  <si>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</si>
  <si>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</si>
  <si>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</si>
  <si>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</si>
  <si>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</si>
  <si>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</si>
  <si>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</si>
  <si>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</si>
  <si>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</si>
  <si>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</si>
  <si>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</si>
  <si>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</si>
  <si>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</si>
  <si>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</si>
  <si>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</si>
  <si>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</si>
  <si>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</si>
  <si>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</si>
  <si>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</si>
  <si>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</si>
  <si>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</si>
  <si>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</si>
  <si>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</si>
  <si>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</si>
  <si>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</si>
  <si>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</si>
  <si>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</si>
  <si>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</si>
  <si>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</si>
  <si>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</si>
  <si>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</si>
  <si>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</si>
  <si>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</si>
  <si>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</si>
  <si>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</si>
  <si>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</si>
  <si>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</si>
  <si>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</si>
  <si>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</si>
  <si>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</si>
  <si>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</si>
  <si>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</si>
  <si>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</si>
  <si>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</si>
  <si>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</si>
  <si>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</si>
  <si>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</si>
  <si>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</si>
  <si>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</si>
  <si>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</si>
  <si>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</si>
  <si>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</si>
  <si>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</si>
  <si>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</si>
  <si>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</si>
  <si>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</si>
  <si>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</si>
  <si>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</si>
  <si>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</si>
  <si>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</si>
  <si>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</si>
  <si>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</si>
  <si>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</si>
  <si>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</si>
  <si>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</si>
  <si>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</si>
  <si>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</si>
  <si>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</si>
  <si>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</si>
  <si>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</si>
  <si>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</si>
  <si>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</si>
  <si>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</si>
  <si>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</si>
  <si>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</si>
  <si>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</si>
  <si>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</si>
  <si>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</si>
  <si>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</si>
  <si>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</si>
  <si>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</si>
  <si>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</si>
  <si>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</si>
  <si>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</si>
  <si>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</si>
  <si>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</si>
  <si>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</si>
  <si>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</si>
  <si>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</si>
  <si>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</si>
  <si>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</si>
  <si>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</si>
  <si>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</si>
  <si>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</si>
  <si>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</si>
  <si>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</si>
  <si>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</si>
  <si>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</si>
  <si>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</si>
  <si>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</si>
  <si>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</si>
  <si>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</si>
  <si>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</si>
  <si>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</si>
  <si>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</si>
  <si>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</si>
  <si>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</si>
  <si>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</si>
  <si>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</si>
  <si>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</si>
  <si>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</si>
  <si>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</si>
  <si>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</si>
  <si>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</si>
  <si>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</si>
  <si>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</si>
  <si>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</si>
  <si>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</si>
  <si>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</si>
  <si>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</si>
  <si>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</si>
  <si>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</si>
  <si>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</si>
  <si>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</si>
  <si>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</si>
  <si>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</si>
  <si>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</si>
  <si>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</si>
  <si>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</si>
  <si>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</si>
  <si>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</si>
  <si>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</si>
  <si>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</si>
  <si>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</si>
  <si>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</si>
  <si>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</si>
  <si>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</si>
  <si>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</si>
  <si>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</si>
  <si>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</si>
  <si>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</si>
  <si>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</si>
  <si>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</si>
  <si>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</si>
  <si>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</si>
  <si>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</si>
  <si>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</si>
  <si>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</si>
  <si>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</si>
  <si>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</si>
  <si>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</si>
  <si>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</si>
  <si>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</si>
  <si>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</si>
  <si>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</si>
  <si>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</si>
  <si>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</si>
  <si>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</si>
  <si>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</si>
  <si>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</si>
  <si>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</si>
  <si>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</si>
  <si>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</si>
  <si>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</si>
  <si>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</si>
  <si>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</si>
  <si>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</si>
  <si>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</si>
  <si>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</si>
  <si>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</si>
  <si>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</si>
  <si>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</si>
  <si>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</si>
  <si>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</si>
  <si>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</si>
  <si>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</si>
  <si>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</si>
  <si>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</si>
  <si>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</si>
  <si>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</si>
  <si>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</si>
  <si>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</si>
  <si>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</si>
  <si>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</si>
  <si>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</si>
  <si>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</si>
  <si>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</si>
  <si>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</si>
  <si>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</si>
  <si>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</si>
  <si>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</si>
  <si>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</si>
  <si>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</si>
  <si>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</si>
  <si>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</si>
  <si>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</si>
  <si>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</si>
  <si>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</si>
  <si>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</si>
  <si>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</si>
  <si>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</si>
  <si>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</si>
  <si>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</si>
  <si>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</si>
  <si>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</si>
  <si>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</si>
  <si>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</si>
  <si>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</si>
  <si>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</si>
  <si>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</si>
  <si>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</si>
  <si>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</si>
  <si>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</si>
  <si>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</si>
  <si>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</si>
  <si>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</si>
  <si>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</si>
  <si>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</si>
  <si>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</si>
  <si>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</si>
  <si>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</si>
  <si>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</si>
  <si>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</si>
  <si>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</si>
  <si>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</si>
  <si>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</si>
  <si>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</si>
  <si>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</si>
  <si>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</si>
  <si>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</si>
  <si>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</si>
  <si>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</si>
  <si>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</si>
  <si>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</si>
  <si>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</si>
  <si>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</si>
  <si>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</si>
  <si>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</si>
  <si>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</si>
  <si>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</si>
  <si>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</si>
  <si>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</si>
  <si>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</si>
  <si>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</si>
  <si>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</si>
  <si>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</si>
  <si>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</si>
  <si>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</si>
  <si>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</si>
  <si>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</si>
  <si>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</si>
  <si>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</si>
  <si>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</si>
  <si>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</si>
  <si>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</si>
  <si>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</si>
  <si>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</si>
  <si>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</si>
  <si>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</si>
  <si>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</si>
  <si>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</si>
  <si>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</si>
  <si>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</si>
  <si>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</si>
  <si>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</si>
  <si>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</si>
  <si>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</si>
  <si>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</si>
  <si>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</si>
  <si>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</si>
  <si>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</si>
  <si>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</si>
  <si>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</si>
  <si>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</si>
  <si>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</si>
  <si>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</si>
  <si>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</si>
  <si>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</si>
  <si>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</si>
  <si>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</si>
  <si>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</si>
  <si>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</si>
  <si>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</si>
  <si>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</si>
  <si>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</si>
  <si>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</si>
  <si>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</si>
  <si>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</si>
  <si>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</si>
  <si>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</si>
  <si>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</si>
  <si>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</si>
  <si>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</si>
  <si>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</si>
  <si>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</si>
  <si>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</si>
  <si>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</si>
  <si>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</si>
  <si>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</si>
  <si>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</si>
  <si>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</si>
  <si>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</si>
  <si>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</si>
  <si>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</si>
  <si>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</si>
  <si>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</si>
  <si>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</si>
  <si>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</si>
  <si>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</si>
  <si>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</si>
  <si>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</si>
  <si>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</si>
  <si>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</si>
  <si>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</si>
  <si>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</si>
  <si>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</si>
  <si>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</si>
  <si>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</si>
  <si>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</si>
  <si>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</si>
  <si>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</si>
  <si>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</si>
  <si>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</si>
  <si>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</si>
  <si>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</si>
  <si>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</si>
  <si>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</si>
  <si>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</si>
  <si>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</si>
  <si>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</si>
  <si>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</si>
  <si>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</si>
  <si>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</si>
  <si>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</si>
  <si>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</si>
  <si>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</si>
  <si>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</si>
  <si>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</si>
  <si>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</si>
  <si>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</si>
  <si>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</si>
  <si>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</si>
  <si>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</si>
  <si>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</si>
  <si>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</si>
  <si>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</si>
  <si>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</si>
  <si>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</si>
  <si>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</si>
  <si>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</si>
  <si>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</si>
  <si>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</si>
  <si>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</si>
  <si>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</si>
  <si>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</si>
  <si>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</si>
  <si>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</si>
  <si>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</si>
  <si>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</si>
  <si>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</si>
  <si>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</si>
  <si>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</si>
  <si>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</si>
  <si>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</si>
  <si>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</si>
  <si>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</si>
  <si>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</si>
  <si>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</si>
  <si>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</si>
  <si>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</si>
  <si>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</si>
  <si>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</si>
  <si>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</si>
  <si>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</si>
  <si>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</si>
  <si>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</si>
  <si>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</si>
  <si>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</si>
  <si>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</si>
  <si>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</si>
  <si>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</si>
  <si>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</si>
  <si>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</si>
  <si>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</si>
  <si>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</si>
  <si>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</si>
  <si>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</si>
  <si>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</si>
  <si>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</si>
  <si>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</si>
  <si>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</si>
  <si>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</si>
  <si>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</si>
  <si>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</si>
  <si>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</si>
  <si>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</si>
  <si>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</si>
  <si>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</si>
  <si>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</si>
  <si>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</si>
  <si>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</si>
  <si>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</si>
  <si>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</si>
  <si>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</si>
  <si>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</si>
  <si>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</si>
  <si>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</si>
  <si>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</si>
  <si>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</si>
  <si>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</si>
  <si>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</si>
  <si>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</si>
  <si>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</si>
  <si>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</si>
  <si>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</si>
  <si>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</si>
  <si>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</si>
  <si>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</si>
  <si>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</si>
  <si>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</si>
  <si>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</si>
  <si>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</si>
  <si>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</si>
  <si>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</si>
  <si>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</si>
  <si>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</si>
  <si>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</si>
  <si>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</si>
  <si>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</si>
  <si>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</si>
  <si>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</si>
  <si>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</si>
  <si>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</si>
  <si>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</si>
  <si>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</si>
  <si>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</si>
  <si>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</si>
  <si>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</si>
  <si>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</si>
  <si>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</si>
  <si>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</si>
  <si>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</si>
  <si>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</si>
  <si>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</si>
  <si>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</si>
  <si>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</si>
  <si>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</si>
  <si>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</si>
  <si>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</si>
  <si>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</si>
  <si>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</si>
  <si>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</si>
  <si>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</si>
  <si>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</si>
  <si>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</si>
  <si>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</si>
  <si>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</si>
  <si>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</si>
  <si>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</si>
  <si>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</si>
  <si>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</si>
  <si>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</si>
  <si>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</si>
  <si>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</si>
  <si>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</si>
  <si>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</si>
  <si>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</si>
  <si>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</si>
  <si>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</si>
  <si>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</si>
  <si>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</si>
  <si>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</si>
  <si>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</si>
  <si>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</si>
  <si>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</si>
  <si>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</si>
  <si>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</si>
  <si>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</si>
  <si>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</si>
  <si>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</si>
  <si>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</si>
  <si>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</si>
  <si>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</si>
  <si>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</si>
  <si>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</si>
  <si>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</si>
  <si>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</si>
  <si>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</si>
  <si>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</si>
  <si>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</si>
  <si>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</si>
  <si>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</si>
  <si>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</si>
  <si>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</si>
  <si>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</si>
  <si>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</si>
  <si>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</si>
  <si>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</si>
  <si>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</si>
  <si>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</si>
  <si>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</si>
  <si>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</si>
  <si>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</si>
  <si>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</si>
  <si>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</si>
  <si>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</si>
  <si>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</si>
  <si>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</si>
  <si>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</si>
  <si>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</si>
  <si>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</si>
  <si>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</si>
  <si>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</si>
  <si>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</si>
  <si>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</si>
  <si>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</si>
  <si>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</si>
  <si>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</si>
  <si>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</si>
  <si>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</si>
  <si>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</si>
  <si>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</si>
  <si>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</si>
  <si>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</si>
  <si>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</si>
  <si>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</si>
  <si>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</si>
  <si>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</si>
  <si>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</si>
  <si>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</si>
  <si>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</si>
  <si>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</si>
  <si>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</si>
  <si>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</si>
  <si>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</si>
  <si>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</si>
  <si>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</si>
  <si>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</si>
  <si>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</si>
  <si>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</si>
  <si>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</si>
  <si>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</si>
  <si>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</si>
  <si>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</si>
  <si>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</si>
  <si>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</si>
  <si>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</si>
  <si>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</si>
  <si>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</si>
  <si>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</si>
  <si>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</si>
  <si>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</si>
  <si>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</si>
  <si>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</si>
  <si>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</si>
  <si>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</si>
  <si>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</si>
  <si>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</si>
  <si>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</si>
  <si>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</si>
  <si>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</si>
  <si>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</si>
  <si>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</si>
  <si>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</si>
  <si>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</si>
  <si>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</si>
  <si>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</si>
  <si>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</si>
  <si>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</si>
  <si>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</si>
  <si>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</si>
  <si>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</si>
  <si>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</si>
  <si>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</si>
  <si>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</si>
  <si>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</si>
  <si>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</si>
  <si>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</si>
  <si>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</si>
  <si>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</si>
  <si>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</si>
  <si>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</si>
  <si>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</si>
  <si>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</si>
  <si>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</si>
  <si>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</si>
  <si>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</si>
  <si>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</si>
  <si>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</si>
  <si>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</si>
  <si>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</si>
  <si>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</si>
  <si>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</si>
  <si>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</si>
  <si>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</si>
  <si>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</si>
  <si>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</si>
  <si>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</si>
  <si>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</si>
  <si>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</si>
  <si>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</si>
  <si>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</si>
  <si>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</si>
  <si>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</si>
  <si>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</si>
  <si>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</si>
  <si>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</si>
  <si>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</si>
  <si>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</si>
  <si>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</si>
  <si>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</si>
  <si>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</si>
  <si>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</si>
  <si>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</si>
  <si>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</si>
  <si>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</si>
  <si>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</si>
  <si>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</si>
  <si>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</si>
  <si>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</si>
  <si>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</si>
  <si>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</si>
  <si>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</si>
  <si>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</si>
  <si>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</si>
  <si>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</si>
  <si>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</si>
  <si>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</si>
  <si>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</si>
  <si>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</si>
  <si>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</si>
  <si>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</si>
  <si>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</si>
  <si>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</si>
  <si>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</si>
  <si>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</si>
  <si>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</si>
  <si>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</si>
  <si>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</si>
  <si>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</si>
  <si>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</si>
  <si>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</si>
  <si>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</si>
  <si>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</si>
  <si>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</si>
  <si>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</si>
  <si>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</si>
  <si>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</si>
  <si>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</si>
  <si>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</si>
  <si>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</si>
  <si>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</si>
  <si>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</si>
  <si>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</si>
  <si>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</si>
  <si>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</si>
  <si>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</si>
  <si>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</si>
  <si>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</si>
  <si>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</si>
  <si>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</si>
  <si>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</si>
  <si>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</si>
  <si>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</si>
  <si>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</si>
  <si>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</si>
  <si>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</si>
  <si>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</si>
  <si>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</si>
  <si>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</si>
  <si>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</si>
  <si>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</si>
  <si>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</si>
  <si>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</si>
  <si>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</si>
  <si>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</si>
  <si>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</si>
  <si>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</si>
  <si>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</si>
  <si>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</si>
  <si>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</si>
  <si>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</si>
  <si>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</si>
  <si>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</si>
  <si>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</si>
  <si>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</si>
  <si>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</si>
  <si>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</si>
  <si>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</si>
  <si>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</si>
  <si>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</si>
  <si>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</si>
  <si>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</si>
  <si>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</si>
  <si>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</si>
  <si>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</si>
  <si>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</si>
  <si>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</si>
  <si>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</si>
  <si>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</si>
  <si>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</si>
  <si>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</si>
  <si>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</si>
  <si>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</si>
  <si>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</si>
  <si>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</si>
  <si>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</si>
  <si>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</si>
  <si>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</si>
  <si>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</si>
  <si>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</si>
  <si>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</si>
  <si>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</si>
  <si>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</si>
  <si>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</si>
  <si>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</si>
  <si>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</si>
  <si>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</si>
  <si>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</si>
  <si>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</si>
  <si>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</si>
  <si>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</si>
  <si>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</si>
  <si>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</si>
  <si>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</si>
  <si>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</si>
  <si>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</si>
  <si>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</si>
  <si>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</si>
  <si>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</si>
  <si>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</si>
  <si>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</si>
  <si>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</si>
  <si>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</si>
  <si>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</si>
  <si>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</si>
  <si>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</si>
  <si>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</si>
  <si>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</si>
  <si>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</si>
  <si>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</si>
  <si>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</si>
  <si>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</si>
  <si>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</si>
  <si>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</si>
  <si>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</si>
  <si>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</si>
  <si>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</si>
  <si>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</si>
  <si>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</si>
  <si>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</si>
  <si>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</si>
  <si>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</si>
  <si>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</si>
  <si>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</si>
  <si>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</si>
  <si>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</si>
  <si>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</si>
  <si>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</si>
  <si>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</si>
  <si>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</si>
  <si>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</si>
  <si>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</si>
  <si>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</si>
  <si>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</si>
  <si>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</si>
  <si>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</si>
  <si>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</si>
  <si>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</si>
  <si>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</si>
  <si>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</si>
  <si>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</si>
  <si>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</si>
  <si>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</si>
  <si>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</si>
  <si>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</si>
  <si>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</si>
  <si>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</si>
  <si>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</si>
  <si>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</si>
  <si>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</si>
  <si>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</si>
  <si>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</si>
  <si>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</si>
  <si>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</si>
  <si>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</si>
  <si>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</si>
  <si>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</si>
  <si>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</si>
  <si>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</si>
  <si>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</si>
  <si>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</si>
  <si>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</si>
  <si>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</si>
  <si>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</si>
  <si>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</si>
  <si>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</si>
  <si>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</si>
  <si>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</si>
  <si>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</si>
  <si>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</si>
  <si>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</si>
  <si>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</si>
  <si>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</si>
  <si>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</si>
  <si>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</si>
  <si>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</si>
  <si>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</si>
  <si>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</si>
  <si>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</si>
  <si>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</si>
  <si>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</si>
  <si>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</si>
  <si>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</si>
  <si>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</si>
  <si>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</si>
  <si>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</si>
  <si>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</si>
  <si>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</si>
  <si>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</si>
  <si>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</si>
  <si>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</si>
  <si>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</si>
  <si>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</si>
  <si>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</si>
  <si>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</si>
  <si>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</si>
  <si>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</si>
  <si>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</si>
  <si>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</si>
  <si>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</si>
  <si>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</si>
  <si>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</si>
  <si>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</si>
  <si>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</si>
  <si>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</si>
  <si>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</si>
  <si>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</si>
  <si>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</si>
  <si>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</si>
  <si>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</si>
  <si>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</si>
  <si>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</si>
  <si>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</si>
  <si>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</si>
  <si>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</si>
  <si>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</si>
  <si>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</si>
  <si>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</si>
  <si>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</si>
  <si>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</si>
  <si>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</si>
  <si>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</si>
  <si>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</si>
  <si>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</si>
  <si>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</si>
  <si>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</si>
  <si>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</si>
  <si>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</si>
  <si>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</si>
  <si>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</si>
  <si>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</si>
  <si>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</si>
  <si>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</si>
  <si>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</si>
  <si>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</si>
  <si>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</si>
  <si>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</si>
  <si>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</si>
  <si>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</si>
  <si>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</si>
  <si>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</si>
  <si>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</si>
  <si>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</si>
  <si>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</si>
  <si>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</si>
  <si>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</si>
  <si>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</si>
  <si>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</si>
  <si>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</si>
  <si>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</si>
  <si>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</si>
  <si>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</si>
  <si>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</si>
  <si>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</si>
  <si>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</si>
  <si>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</si>
  <si>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</si>
  <si>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</si>
  <si>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</si>
  <si>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</si>
  <si>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</si>
  <si>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</si>
  <si>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</si>
  <si>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</si>
  <si>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</si>
  <si>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</si>
  <si>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</si>
  <si>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</si>
  <si>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</si>
  <si>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</si>
  <si>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</si>
  <si>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</si>
  <si>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</si>
  <si>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</si>
  <si>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</si>
  <si>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</si>
  <si>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</si>
  <si>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</si>
  <si>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</si>
  <si>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</si>
  <si>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</si>
  <si>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</si>
  <si>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</si>
  <si>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</si>
  <si>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</si>
  <si>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</si>
  <si>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</si>
  <si>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</si>
  <si>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</si>
  <si>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</si>
  <si>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</si>
  <si>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</si>
  <si>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</si>
  <si>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</si>
  <si>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</si>
  <si>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</si>
  <si>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</si>
  <si>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</si>
  <si>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</si>
  <si>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</si>
  <si>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</si>
  <si>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</si>
  <si>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</si>
  <si>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</si>
  <si>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</si>
  <si>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</si>
  <si>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</si>
  <si>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</si>
  <si>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</si>
  <si>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</si>
  <si>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</si>
  <si>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</si>
  <si>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</si>
  <si>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</si>
  <si>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</si>
  <si>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</si>
  <si>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</si>
  <si>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</si>
  <si>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</si>
  <si>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</si>
  <si>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</si>
  <si>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</si>
  <si>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</si>
  <si>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</si>
  <si>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</si>
  <si>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</si>
  <si>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</si>
  <si>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</si>
  <si>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</si>
  <si>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</si>
  <si>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</si>
  <si>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</si>
  <si>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</si>
  <si>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</si>
  <si>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</si>
  <si>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</si>
  <si>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</si>
  <si>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</si>
  <si>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</si>
  <si>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</si>
  <si>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</si>
  <si>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</si>
  <si>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</si>
  <si>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</si>
  <si>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</si>
  <si>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</si>
  <si>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</si>
  <si>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</si>
  <si>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</si>
  <si>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</si>
  <si>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</si>
  <si>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</si>
  <si>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</si>
  <si>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</si>
  <si>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</si>
  <si>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</si>
  <si>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</si>
  <si>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</si>
  <si>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</si>
  <si>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</si>
  <si>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</si>
  <si>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</si>
  <si>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</si>
  <si>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</si>
  <si>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</si>
  <si>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</si>
  <si>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</si>
  <si>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</si>
  <si>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</si>
  <si>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</si>
  <si>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</si>
  <si>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</si>
  <si>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</si>
  <si>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</si>
  <si>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</si>
  <si>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</si>
  <si>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</si>
  <si>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</si>
  <si>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</si>
  <si>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</si>
  <si>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</si>
  <si>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</si>
  <si>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</si>
  <si>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</si>
  <si>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</si>
  <si>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</si>
  <si>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</si>
  <si>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</si>
  <si>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</si>
  <si>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</si>
  <si>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</si>
  <si>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</si>
  <si>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</si>
  <si>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</si>
  <si>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</si>
  <si>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</si>
  <si>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</si>
  <si>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</si>
  <si>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</si>
  <si>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</si>
  <si>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</si>
  <si>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</si>
  <si>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</si>
  <si>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</si>
  <si>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</si>
  <si>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</si>
  <si>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</si>
  <si>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</si>
  <si>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</si>
  <si>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</si>
  <si>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</si>
  <si>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</si>
  <si>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</si>
  <si>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</si>
  <si>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</si>
  <si>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</si>
  <si>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</si>
  <si>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</si>
  <si>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</si>
  <si>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</si>
  <si>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</si>
  <si>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</si>
  <si>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</si>
  <si>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</si>
  <si>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</si>
  <si>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</si>
  <si>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</si>
  <si>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</si>
  <si>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</si>
  <si>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</si>
  <si>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</si>
  <si>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</si>
  <si>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</si>
  <si>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</si>
  <si>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</si>
  <si>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</si>
  <si>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</si>
  <si>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</si>
  <si>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</si>
  <si>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</si>
  <si>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</si>
  <si>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</si>
  <si>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</si>
  <si>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</si>
  <si>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</si>
  <si>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</si>
  <si>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</si>
  <si>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</si>
  <si>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</si>
  <si>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</si>
  <si>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</si>
  <si>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</si>
  <si>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</si>
  <si>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</si>
  <si>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</si>
  <si>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</si>
  <si>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</si>
  <si>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</si>
  <si>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</si>
  <si>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</si>
  <si>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</si>
  <si>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</si>
  <si>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</si>
  <si>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</si>
  <si>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</si>
  <si>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</si>
  <si>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</si>
  <si>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</si>
  <si>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</si>
  <si>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</si>
  <si>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</si>
  <si>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</si>
  <si>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</si>
  <si>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</si>
  <si>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</si>
  <si>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</si>
  <si>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</si>
  <si>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</si>
  <si>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</si>
  <si>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</si>
  <si>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</si>
  <si>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</si>
  <si>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</si>
  <si>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</si>
  <si>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</si>
  <si>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</si>
  <si>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</si>
  <si>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</si>
  <si>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</si>
  <si>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</si>
  <si>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</si>
  <si>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</si>
  <si>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</si>
  <si>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</si>
  <si>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</si>
  <si>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</si>
  <si>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</si>
  <si>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</si>
  <si>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</si>
  <si>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</si>
  <si>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</si>
  <si>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</si>
  <si>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</si>
  <si>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</si>
  <si>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</si>
  <si>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</si>
  <si>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</si>
  <si>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</si>
  <si>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</si>
  <si>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</si>
  <si>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</si>
  <si>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</si>
  <si>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</si>
  <si>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</si>
  <si>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</si>
  <si>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</si>
  <si>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</si>
  <si>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</si>
  <si>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</si>
  <si>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</si>
  <si>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</si>
  <si>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</si>
  <si>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</si>
  <si>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</si>
  <si>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</si>
  <si>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</si>
  <si>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</si>
  <si>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</si>
  <si>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</si>
  <si>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</si>
  <si>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</si>
  <si>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</si>
  <si>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</si>
  <si>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</si>
  <si>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</si>
  <si>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</si>
  <si>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</si>
  <si>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</si>
  <si>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</si>
  <si>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</si>
  <si>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</si>
  <si>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</si>
  <si>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EXPRESSION(.Table %&gt;% group_by(across(-.Feature)) %&gt;% summarize(.Feature = paste0(.Feature, collapse = " / ")))</t>
  </si>
  <si>
    <t>Turn multiple records containing different values in 'CausesOfDeath' for a specific patient into one record</t>
  </si>
  <si>
    <t>Placebo</t>
  </si>
  <si>
    <t>Capivasertib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</si>
</sst>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2236</v>
      </c>
      <c r="B3" s="2" t="s">
        <v>2190</v>
      </c>
      <c r="C3" s="2" t="s">
        <v>2191</v>
      </c>
      <c r="D3" s="2" t="s">
        <v>2460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2459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2453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2459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2459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2459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2459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2459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2459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2461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2459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2459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2459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2459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2459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B1" workbookViewId="0">
      <pane ySplit="3" topLeftCell="A144" activePane="bottomLeft" state="frozen"/>
      <selection pane="bottomLeft" activeCell="M8" sqref="M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2236</v>
      </c>
      <c r="C3" s="2" t="s">
        <v>2190</v>
      </c>
      <c r="D3" s="2" t="s">
        <v>2191</v>
      </c>
      <c r="E3" s="2" t="s">
        <v>379</v>
      </c>
      <c r="F3" s="2" t="s">
        <v>2192</v>
      </c>
      <c r="G3" s="2" t="s">
        <v>2193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2485</v>
      </c>
      <c r="N3" s="2" t="s">
        <v>2484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2185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2185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2186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2185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2185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2185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2185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2185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2187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2185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2185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2185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2185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2185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2186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2185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2185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2185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2185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2185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2185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2185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2185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2185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2186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2185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2185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2240</v>
      </c>
      <c r="G31" s="3" t="s">
        <v>2241</v>
      </c>
      <c r="H31" s="3" t="s">
        <v>652</v>
      </c>
      <c r="I31" s="3" t="s">
        <v>652</v>
      </c>
      <c r="J31" s="3" t="s">
        <v>1440</v>
      </c>
      <c r="K31" s="3" t="s">
        <v>2185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2185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2185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2185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2185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2185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2186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2188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2185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2185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2185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2186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2185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2185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2185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2185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2187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2187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2187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2187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2185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2185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2185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2186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2189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2185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2185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2185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2185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2186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2185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2185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2185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2185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2185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2185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2186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2185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2185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2185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2185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2185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2186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2184</v>
      </c>
      <c r="H74" s="3" t="s">
        <v>652</v>
      </c>
      <c r="I74" s="3" t="s">
        <v>652</v>
      </c>
      <c r="J74" s="3" t="s">
        <v>1540</v>
      </c>
      <c r="K74" s="3" t="s">
        <v>2185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2186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2185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2185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2185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2185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2185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2185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2185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2185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2186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2186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2185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2185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2185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2185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2187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2185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2187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2185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2185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2185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2185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2185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2185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2185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2185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2185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2186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2185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2198</v>
      </c>
      <c r="H104" s="3" t="s">
        <v>652</v>
      </c>
      <c r="I104" s="3" t="s">
        <v>652</v>
      </c>
      <c r="J104" s="3" t="s">
        <v>1540</v>
      </c>
      <c r="K104" s="3" t="s">
        <v>2185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2199</v>
      </c>
      <c r="H105" s="3" t="s">
        <v>652</v>
      </c>
      <c r="I105" s="3" t="s">
        <v>652</v>
      </c>
      <c r="J105" s="3" t="s">
        <v>1540</v>
      </c>
      <c r="K105" s="3" t="s">
        <v>2185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2200</v>
      </c>
      <c r="H106" s="3" t="s">
        <v>652</v>
      </c>
      <c r="I106" s="3" t="s">
        <v>652</v>
      </c>
      <c r="J106" s="3" t="s">
        <v>1540</v>
      </c>
      <c r="K106" s="3" t="s">
        <v>2185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2201</v>
      </c>
      <c r="H107" s="3" t="s">
        <v>652</v>
      </c>
      <c r="I107" s="3" t="s">
        <v>652</v>
      </c>
      <c r="J107" s="3" t="s">
        <v>1540</v>
      </c>
      <c r="K107" s="3" t="s">
        <v>2185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2202</v>
      </c>
      <c r="H108" s="3" t="s">
        <v>652</v>
      </c>
      <c r="I108" s="3" t="s">
        <v>652</v>
      </c>
      <c r="J108" s="3" t="s">
        <v>1540</v>
      </c>
      <c r="K108" s="3" t="s">
        <v>2185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2203</v>
      </c>
      <c r="H109" s="3" t="s">
        <v>652</v>
      </c>
      <c r="I109" s="3" t="s">
        <v>652</v>
      </c>
      <c r="J109" s="3" t="s">
        <v>1540</v>
      </c>
      <c r="K109" s="3" t="s">
        <v>2185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2204</v>
      </c>
      <c r="H110" s="3" t="s">
        <v>652</v>
      </c>
      <c r="I110" s="3" t="s">
        <v>652</v>
      </c>
      <c r="J110" s="3" t="s">
        <v>1540</v>
      </c>
      <c r="K110" s="3" t="s">
        <v>2185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2205</v>
      </c>
      <c r="H111" s="3" t="s">
        <v>652</v>
      </c>
      <c r="I111" s="3" t="s">
        <v>652</v>
      </c>
      <c r="J111" s="3" t="s">
        <v>1540</v>
      </c>
      <c r="K111" s="3" t="s">
        <v>2185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2206</v>
      </c>
      <c r="H112" s="3" t="s">
        <v>652</v>
      </c>
      <c r="I112" s="3" t="s">
        <v>652</v>
      </c>
      <c r="J112" s="3" t="s">
        <v>1540</v>
      </c>
      <c r="K112" s="3" t="s">
        <v>2185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2185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2207</v>
      </c>
      <c r="H114" s="3" t="s">
        <v>652</v>
      </c>
      <c r="I114" s="3" t="s">
        <v>652</v>
      </c>
      <c r="J114" s="3" t="s">
        <v>1540</v>
      </c>
      <c r="K114" s="3" t="s">
        <v>2185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2208</v>
      </c>
      <c r="H115" s="3" t="s">
        <v>652</v>
      </c>
      <c r="I115" s="3" t="s">
        <v>652</v>
      </c>
      <c r="J115" s="3" t="s">
        <v>1540</v>
      </c>
      <c r="K115" s="3" t="s">
        <v>2185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2209</v>
      </c>
      <c r="H116" s="3" t="s">
        <v>652</v>
      </c>
      <c r="I116" s="3" t="s">
        <v>652</v>
      </c>
      <c r="J116" s="3" t="s">
        <v>1540</v>
      </c>
      <c r="K116" s="3" t="s">
        <v>2185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2210</v>
      </c>
      <c r="H117" s="3" t="s">
        <v>652</v>
      </c>
      <c r="I117" s="3" t="s">
        <v>652</v>
      </c>
      <c r="J117" s="3" t="s">
        <v>1540</v>
      </c>
      <c r="K117" s="3" t="s">
        <v>2185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2185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2185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2185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2185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2244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2185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2186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2185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2185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2185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2185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2185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2185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2185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2185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2185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2185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2185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2186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2186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2185</v>
      </c>
      <c r="L137" s="3" t="s">
        <v>652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2136</v>
      </c>
      <c r="H138" s="3" t="s">
        <v>652</v>
      </c>
      <c r="I138" s="3" t="s">
        <v>652</v>
      </c>
      <c r="J138" s="3" t="s">
        <v>1540</v>
      </c>
      <c r="K138" s="3" t="s">
        <v>2185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2189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2189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2189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2189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2189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2185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2185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2185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2185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2185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2185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2185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2186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2185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2185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2448</v>
      </c>
      <c r="B3" s="2" t="s">
        <v>551</v>
      </c>
      <c r="C3" s="2" t="s">
        <v>2449</v>
      </c>
      <c r="D3" s="2" t="s">
        <v>2451</v>
      </c>
      <c r="E3" s="2" t="s">
        <v>2450</v>
      </c>
      <c r="F3" s="2" t="s">
        <v>2452</v>
      </c>
    </row>
    <row r="4" spans="1:6" ht="25.2" customHeight="1" x14ac:dyDescent="0.3">
      <c r="A4" s="28">
        <v>1</v>
      </c>
      <c r="B4" s="62" t="s">
        <v>2462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2462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2462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2462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2462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2462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2462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2462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2462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2462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2462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2462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2462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2454</v>
      </c>
      <c r="B3" s="2" t="s">
        <v>2448</v>
      </c>
      <c r="C3" s="2" t="s">
        <v>2451</v>
      </c>
      <c r="D3" s="2" t="s">
        <v>2452</v>
      </c>
      <c r="E3" s="2" t="s">
        <v>2455</v>
      </c>
      <c r="F3" s="2" t="s">
        <v>2457</v>
      </c>
      <c r="G3" s="2" t="s">
        <v>2456</v>
      </c>
      <c r="H3" s="2" t="s">
        <v>2458</v>
      </c>
      <c r="I3" s="2" t="s">
        <v>2463</v>
      </c>
      <c r="J3" s="2" t="s">
        <v>2464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2"/>
  <sheetViews>
    <sheetView tabSelected="1" zoomScale="79" workbookViewId="0">
      <pane xSplit="4" ySplit="3" topLeftCell="E1414" activePane="bottomRight" state="frozen"/>
      <selection pane="topRight" activeCell="D1" sqref="D1"/>
      <selection pane="bottomLeft" activeCell="A2" sqref="A2"/>
      <selection pane="bottomRight" activeCell="H1428" sqref="H1428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2192</v>
      </c>
      <c r="D3" s="30" t="s">
        <v>2193</v>
      </c>
      <c r="E3" s="32" t="s">
        <v>191</v>
      </c>
      <c r="F3" s="32" t="s">
        <v>2194</v>
      </c>
      <c r="G3" s="32" t="s">
        <v>2195</v>
      </c>
      <c r="H3" s="35" t="s">
        <v>2196</v>
      </c>
      <c r="I3" s="36" t="s">
        <v>2197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2237</v>
      </c>
      <c r="H136" s="6" t="s">
        <v>2238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2249</v>
      </c>
      <c r="G142" s="5" t="s">
        <v>2250</v>
      </c>
      <c r="H142" s="7" t="s">
        <v>2251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2245</v>
      </c>
      <c r="G449" s="3" t="s">
        <v>2245</v>
      </c>
      <c r="H449" s="1" t="s">
        <v>2246</v>
      </c>
      <c r="I449" s="1" t="s">
        <v>2246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2247</v>
      </c>
      <c r="G450" s="3" t="s">
        <v>2247</v>
      </c>
      <c r="H450" s="1" t="s">
        <v>2248</v>
      </c>
      <c r="I450" s="1" t="s">
        <v>2248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2245</v>
      </c>
      <c r="G453" s="3" t="s">
        <v>2245</v>
      </c>
      <c r="H453" s="1" t="s">
        <v>2246</v>
      </c>
      <c r="I453" s="1" t="s">
        <v>2246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2247</v>
      </c>
      <c r="G454" s="3" t="s">
        <v>2247</v>
      </c>
      <c r="H454" s="1" t="s">
        <v>2248</v>
      </c>
      <c r="I454" s="1" t="s">
        <v>2248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2447</v>
      </c>
      <c r="G727" s="3" t="s">
        <v>2447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26" t="str">
        <f>VLOOKUP(A737,Meta.Features!$A:$K,$E$1,FALSE)</f>
        <v>Nominal</v>
      </c>
      <c r="F737" s="3" t="s">
        <v>2284</v>
      </c>
      <c r="G737" s="3" t="s">
        <v>2284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26" t="str">
        <f>VLOOKUP(A738,Meta.Features!$A:$K,$E$1,FALSE)</f>
        <v>Nominal</v>
      </c>
      <c r="F738" s="3" t="s">
        <v>2285</v>
      </c>
      <c r="G738" s="3" t="s">
        <v>2285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26" t="str">
        <f>VLOOKUP(A739,Meta.Features!$A:$K,$E$1,FALSE)</f>
        <v>Nominal</v>
      </c>
      <c r="F739" s="3" t="s">
        <v>2286</v>
      </c>
      <c r="G739" s="3" t="s">
        <v>2286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26" t="str">
        <f>VLOOKUP(A740,Meta.Features!$A:$K,$E$1,FALSE)</f>
        <v>Nominal</v>
      </c>
      <c r="F740" s="3" t="s">
        <v>2287</v>
      </c>
      <c r="G740" s="3" t="s">
        <v>2287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26" t="str">
        <f>VLOOKUP(A741,Meta.Features!$A:$K,$E$1,FALSE)</f>
        <v>Nominal</v>
      </c>
      <c r="F741" s="3" t="s">
        <v>2288</v>
      </c>
      <c r="G741" s="3" t="s">
        <v>2288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26" t="str">
        <f>VLOOKUP(A742,Meta.Features!$A:$K,$E$1,FALSE)</f>
        <v>Nominal</v>
      </c>
      <c r="F742" s="3" t="s">
        <v>2289</v>
      </c>
      <c r="G742" s="3" t="s">
        <v>2289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26" t="str">
        <f>VLOOKUP(A743,Meta.Features!$A:$K,$E$1,FALSE)</f>
        <v>Nominal</v>
      </c>
      <c r="F743" s="3" t="s">
        <v>2290</v>
      </c>
      <c r="G743" s="3" t="s">
        <v>2290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26" t="str">
        <f>VLOOKUP(A744,Meta.Features!$A:$K,$E$1,FALSE)</f>
        <v>Nominal</v>
      </c>
      <c r="F744" s="3" t="s">
        <v>2291</v>
      </c>
      <c r="G744" s="3" t="s">
        <v>2291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26" t="str">
        <f>VLOOKUP(A745,Meta.Features!$A:$K,$E$1,FALSE)</f>
        <v>Nominal</v>
      </c>
      <c r="F745" s="3" t="s">
        <v>2292</v>
      </c>
      <c r="G745" s="3" t="s">
        <v>2292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26" t="str">
        <f>VLOOKUP(A746,Meta.Features!$A:$K,$E$1,FALSE)</f>
        <v>Nominal</v>
      </c>
      <c r="F746" s="3" t="s">
        <v>2293</v>
      </c>
      <c r="G746" s="3" t="s">
        <v>2293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26" t="str">
        <f>VLOOKUP(A747,Meta.Features!$A:$K,$E$1,FALSE)</f>
        <v>Nominal</v>
      </c>
      <c r="F747" s="3" t="s">
        <v>2294</v>
      </c>
      <c r="G747" s="3" t="s">
        <v>2294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26" t="str">
        <f>VLOOKUP(A748,Meta.Features!$A:$K,$E$1,FALSE)</f>
        <v>Nominal</v>
      </c>
      <c r="F748" s="3" t="s">
        <v>2295</v>
      </c>
      <c r="G748" s="3" t="s">
        <v>2295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26" t="str">
        <f>VLOOKUP(A749,Meta.Features!$A:$K,$E$1,FALSE)</f>
        <v>Nominal</v>
      </c>
      <c r="F749" s="3" t="s">
        <v>2296</v>
      </c>
      <c r="G749" s="3" t="s">
        <v>2296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26" t="str">
        <f>VLOOKUP(A750,Meta.Features!$A:$K,$E$1,FALSE)</f>
        <v>Nominal</v>
      </c>
      <c r="F750" s="3" t="s">
        <v>2297</v>
      </c>
      <c r="G750" s="3" t="s">
        <v>2297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26" t="str">
        <f>VLOOKUP(A751,Meta.Features!$A:$K,$E$1,FALSE)</f>
        <v>Nominal</v>
      </c>
      <c r="F751" s="3" t="s">
        <v>2298</v>
      </c>
      <c r="G751" s="3" t="s">
        <v>2298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26" t="str">
        <f>VLOOKUP(A752,Meta.Features!$A:$K,$E$1,FALSE)</f>
        <v>Nominal</v>
      </c>
      <c r="F752" s="3" t="s">
        <v>2299</v>
      </c>
      <c r="G752" s="3" t="s">
        <v>2299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26" t="str">
        <f>VLOOKUP(A753,Meta.Features!$A:$K,$E$1,FALSE)</f>
        <v>Nominal</v>
      </c>
      <c r="F753" s="3" t="s">
        <v>2300</v>
      </c>
      <c r="G753" s="3" t="s">
        <v>2300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26" t="str">
        <f>VLOOKUP(A754,Meta.Features!$A:$K,$E$1,FALSE)</f>
        <v>Nominal</v>
      </c>
      <c r="F754" s="3" t="s">
        <v>2301</v>
      </c>
      <c r="G754" s="3" t="s">
        <v>2301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26" t="str">
        <f>VLOOKUP(A755,Meta.Features!$A:$K,$E$1,FALSE)</f>
        <v>Nominal</v>
      </c>
      <c r="F755" s="3" t="s">
        <v>2302</v>
      </c>
      <c r="G755" s="3" t="s">
        <v>2302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26" t="str">
        <f>VLOOKUP(A756,Meta.Features!$A:$K,$E$1,FALSE)</f>
        <v>Nominal</v>
      </c>
      <c r="F756" s="3" t="s">
        <v>2303</v>
      </c>
      <c r="G756" s="3" t="s">
        <v>2303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26" t="str">
        <f>VLOOKUP(A757,Meta.Features!$A:$K,$E$1,FALSE)</f>
        <v>Nominal</v>
      </c>
      <c r="F757" s="3" t="s">
        <v>2304</v>
      </c>
      <c r="G757" s="3" t="s">
        <v>2304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26" t="str">
        <f>VLOOKUP(A758,Meta.Features!$A:$K,$E$1,FALSE)</f>
        <v>Nominal</v>
      </c>
      <c r="F758" s="3" t="s">
        <v>2305</v>
      </c>
      <c r="G758" s="3" t="s">
        <v>2305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26" t="str">
        <f>VLOOKUP(A759,Meta.Features!$A:$K,$E$1,FALSE)</f>
        <v>Nominal</v>
      </c>
      <c r="F759" s="3" t="s">
        <v>2306</v>
      </c>
      <c r="G759" s="3" t="s">
        <v>2306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26" t="str">
        <f>VLOOKUP(A760,Meta.Features!$A:$K,$E$1,FALSE)</f>
        <v>Nominal</v>
      </c>
      <c r="F760" s="3" t="s">
        <v>2307</v>
      </c>
      <c r="G760" s="3" t="s">
        <v>2307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26" t="str">
        <f>VLOOKUP(A761,Meta.Features!$A:$K,$E$1,FALSE)</f>
        <v>Nominal</v>
      </c>
      <c r="F761" s="3" t="s">
        <v>2308</v>
      </c>
      <c r="G761" s="3" t="s">
        <v>2308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26" t="str">
        <f>VLOOKUP(A762,Meta.Features!$A:$K,$E$1,FALSE)</f>
        <v>Nominal</v>
      </c>
      <c r="F762" s="3" t="s">
        <v>2309</v>
      </c>
      <c r="G762" s="3" t="s">
        <v>2309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26" t="str">
        <f>VLOOKUP(A763,Meta.Features!$A:$K,$E$1,FALSE)</f>
        <v>Nominal</v>
      </c>
      <c r="F763" s="3" t="s">
        <v>2310</v>
      </c>
      <c r="G763" s="3" t="s">
        <v>2310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26" t="str">
        <f>VLOOKUP(A764,Meta.Features!$A:$K,$E$1,FALSE)</f>
        <v>Nominal</v>
      </c>
      <c r="F764" s="3" t="s">
        <v>2311</v>
      </c>
      <c r="G764" s="3" t="s">
        <v>2311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26" t="str">
        <f>VLOOKUP(A765,Meta.Features!$A:$K,$E$1,FALSE)</f>
        <v>Nominal</v>
      </c>
      <c r="F765" s="3" t="s">
        <v>2312</v>
      </c>
      <c r="G765" s="3" t="s">
        <v>2312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26" t="str">
        <f>VLOOKUP(A766,Meta.Features!$A:$K,$E$1,FALSE)</f>
        <v>Nominal</v>
      </c>
      <c r="F766" s="3" t="s">
        <v>2313</v>
      </c>
      <c r="G766" s="3" t="s">
        <v>2313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26" t="str">
        <f>VLOOKUP(A767,Meta.Features!$A:$K,$E$1,FALSE)</f>
        <v>Nominal</v>
      </c>
      <c r="F767" s="3" t="s">
        <v>2314</v>
      </c>
      <c r="G767" s="3" t="s">
        <v>2314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26" t="str">
        <f>VLOOKUP(A768,Meta.Features!$A:$K,$E$1,FALSE)</f>
        <v>Nominal</v>
      </c>
      <c r="F768" s="3" t="s">
        <v>2315</v>
      </c>
      <c r="G768" s="3" t="s">
        <v>2315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26" t="str">
        <f>VLOOKUP(A769,Meta.Features!$A:$K,$E$1,FALSE)</f>
        <v>Nominal</v>
      </c>
      <c r="F769" s="3" t="s">
        <v>2316</v>
      </c>
      <c r="G769" s="3" t="s">
        <v>2316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26" t="str">
        <f>VLOOKUP(A770,Meta.Features!$A:$K,$E$1,FALSE)</f>
        <v>Nominal</v>
      </c>
      <c r="F770" s="3" t="s">
        <v>2317</v>
      </c>
      <c r="G770" s="3" t="s">
        <v>2317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26" t="str">
        <f>VLOOKUP(A771,Meta.Features!$A:$K,$E$1,FALSE)</f>
        <v>Nominal</v>
      </c>
      <c r="F771" s="3" t="s">
        <v>2318</v>
      </c>
      <c r="G771" s="3" t="s">
        <v>2318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26" t="str">
        <f>VLOOKUP(A772,Meta.Features!$A:$K,$E$1,FALSE)</f>
        <v>Nominal</v>
      </c>
      <c r="F772" s="3" t="s">
        <v>2319</v>
      </c>
      <c r="G772" s="3" t="s">
        <v>2319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26" t="str">
        <f>VLOOKUP(A773,Meta.Features!$A:$K,$E$1,FALSE)</f>
        <v>Nominal</v>
      </c>
      <c r="F773" s="3" t="s">
        <v>2320</v>
      </c>
      <c r="G773" s="3" t="s">
        <v>2320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26" t="str">
        <f>VLOOKUP(A774,Meta.Features!$A:$K,$E$1,FALSE)</f>
        <v>Nominal</v>
      </c>
      <c r="F774" s="3" t="s">
        <v>2321</v>
      </c>
      <c r="G774" s="3" t="s">
        <v>2321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26" t="str">
        <f>VLOOKUP(A775,Meta.Features!$A:$K,$E$1,FALSE)</f>
        <v>Nominal</v>
      </c>
      <c r="F775" s="3" t="s">
        <v>2322</v>
      </c>
      <c r="G775" s="3" t="s">
        <v>2322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26" t="str">
        <f>VLOOKUP(A776,Meta.Features!$A:$K,$E$1,FALSE)</f>
        <v>Nominal</v>
      </c>
      <c r="F776" s="3" t="s">
        <v>2323</v>
      </c>
      <c r="G776" s="3" t="s">
        <v>2323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26" t="str">
        <f>VLOOKUP(A777,Meta.Features!$A:$K,$E$1,FALSE)</f>
        <v>Nominal</v>
      </c>
      <c r="F777" s="3" t="s">
        <v>2324</v>
      </c>
      <c r="G777" s="3" t="s">
        <v>2324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26" t="str">
        <f>VLOOKUP(A778,Meta.Features!$A:$K,$E$1,FALSE)</f>
        <v>Nominal</v>
      </c>
      <c r="F778" s="3" t="s">
        <v>2325</v>
      </c>
      <c r="G778" s="3" t="s">
        <v>2325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26" t="str">
        <f>VLOOKUP(A779,Meta.Features!$A:$K,$E$1,FALSE)</f>
        <v>Nominal</v>
      </c>
      <c r="F779" s="3" t="s">
        <v>2326</v>
      </c>
      <c r="G779" s="3" t="s">
        <v>2326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26" t="str">
        <f>VLOOKUP(A780,Meta.Features!$A:$K,$E$1,FALSE)</f>
        <v>Nominal</v>
      </c>
      <c r="F780" s="3" t="s">
        <v>2327</v>
      </c>
      <c r="G780" s="3" t="s">
        <v>2327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26" t="str">
        <f>VLOOKUP(A781,Meta.Features!$A:$K,$E$1,FALSE)</f>
        <v>Nominal</v>
      </c>
      <c r="F781" s="3" t="s">
        <v>2328</v>
      </c>
      <c r="G781" s="3" t="s">
        <v>2328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26" t="str">
        <f>VLOOKUP(A782,Meta.Features!$A:$K,$E$1,FALSE)</f>
        <v>Nominal</v>
      </c>
      <c r="F782" s="3" t="s">
        <v>2329</v>
      </c>
      <c r="G782" s="3" t="s">
        <v>2329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26" t="str">
        <f>VLOOKUP(A783,Meta.Features!$A:$K,$E$1,FALSE)</f>
        <v>Nominal</v>
      </c>
      <c r="F783" s="3" t="s">
        <v>2330</v>
      </c>
      <c r="G783" s="3" t="s">
        <v>2330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26" t="str">
        <f>VLOOKUP(A784,Meta.Features!$A:$K,$E$1,FALSE)</f>
        <v>Nominal</v>
      </c>
      <c r="F784" s="3" t="s">
        <v>2331</v>
      </c>
      <c r="G784" s="3" t="s">
        <v>2331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26" t="str">
        <f>VLOOKUP(A785,Meta.Features!$A:$K,$E$1,FALSE)</f>
        <v>Nominal</v>
      </c>
      <c r="F785" s="3" t="s">
        <v>2332</v>
      </c>
      <c r="G785" s="3" t="s">
        <v>2332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26" t="str">
        <f>VLOOKUP(A786,Meta.Features!$A:$K,$E$1,FALSE)</f>
        <v>Nominal</v>
      </c>
      <c r="F786" s="3" t="s">
        <v>2333</v>
      </c>
      <c r="G786" s="3" t="s">
        <v>2333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26" t="str">
        <f>VLOOKUP(A787,Meta.Features!$A:$K,$E$1,FALSE)</f>
        <v>Nominal</v>
      </c>
      <c r="F787" s="3" t="s">
        <v>2334</v>
      </c>
      <c r="G787" s="3" t="s">
        <v>2334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26" t="str">
        <f>VLOOKUP(A788,Meta.Features!$A:$K,$E$1,FALSE)</f>
        <v>Nominal</v>
      </c>
      <c r="F788" s="3" t="s">
        <v>2335</v>
      </c>
      <c r="G788" s="3" t="s">
        <v>2335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26" t="str">
        <f>VLOOKUP(A789,Meta.Features!$A:$K,$E$1,FALSE)</f>
        <v>Nominal</v>
      </c>
      <c r="F789" s="3" t="s">
        <v>2336</v>
      </c>
      <c r="G789" s="3" t="s">
        <v>2336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26" t="str">
        <f>VLOOKUP(A790,Meta.Features!$A:$K,$E$1,FALSE)</f>
        <v>Nominal</v>
      </c>
      <c r="F790" s="3" t="s">
        <v>2337</v>
      </c>
      <c r="G790" s="3" t="s">
        <v>2337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26" t="str">
        <f>VLOOKUP(A791,Meta.Features!$A:$K,$E$1,FALSE)</f>
        <v>Nominal</v>
      </c>
      <c r="F791" s="3" t="s">
        <v>2338</v>
      </c>
      <c r="G791" s="3" t="s">
        <v>2338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26" t="str">
        <f>VLOOKUP(A792,Meta.Features!$A:$K,$E$1,FALSE)</f>
        <v>Nominal</v>
      </c>
      <c r="F792" s="3" t="s">
        <v>2339</v>
      </c>
      <c r="G792" s="3" t="s">
        <v>2339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26" t="str">
        <f>VLOOKUP(A793,Meta.Features!$A:$K,$E$1,FALSE)</f>
        <v>Nominal</v>
      </c>
      <c r="F793" s="3" t="s">
        <v>2340</v>
      </c>
      <c r="G793" s="3" t="s">
        <v>2340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26" t="str">
        <f>VLOOKUP(A794,Meta.Features!$A:$K,$E$1,FALSE)</f>
        <v>Nominal</v>
      </c>
      <c r="F794" s="3" t="s">
        <v>2341</v>
      </c>
      <c r="G794" s="3" t="s">
        <v>2341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26" t="str">
        <f>VLOOKUP(A795,Meta.Features!$A:$K,$E$1,FALSE)</f>
        <v>Nominal</v>
      </c>
      <c r="F795" s="3" t="s">
        <v>2342</v>
      </c>
      <c r="G795" s="3" t="s">
        <v>2342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26" t="str">
        <f>VLOOKUP(A796,Meta.Features!$A:$K,$E$1,FALSE)</f>
        <v>Nominal</v>
      </c>
      <c r="F796" s="3" t="s">
        <v>2343</v>
      </c>
      <c r="G796" s="3" t="s">
        <v>2343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26" t="str">
        <f>VLOOKUP(A797,Meta.Features!$A:$K,$E$1,FALSE)</f>
        <v>Nominal</v>
      </c>
      <c r="F797" s="3" t="s">
        <v>2344</v>
      </c>
      <c r="G797" s="3" t="s">
        <v>2344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26" t="str">
        <f>VLOOKUP(A798,Meta.Features!$A:$K,$E$1,FALSE)</f>
        <v>Nominal</v>
      </c>
      <c r="F798" s="3" t="s">
        <v>2345</v>
      </c>
      <c r="G798" s="3" t="s">
        <v>2345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26" t="str">
        <f>VLOOKUP(A799,Meta.Features!$A:$K,$E$1,FALSE)</f>
        <v>Nominal</v>
      </c>
      <c r="F799" s="3" t="s">
        <v>2346</v>
      </c>
      <c r="G799" s="3" t="s">
        <v>2346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26" t="str">
        <f>VLOOKUP(A800,Meta.Features!$A:$K,$E$1,FALSE)</f>
        <v>Nominal</v>
      </c>
      <c r="F800" s="3" t="s">
        <v>2347</v>
      </c>
      <c r="G800" s="3" t="s">
        <v>2347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26" t="str">
        <f>VLOOKUP(A801,Meta.Features!$A:$K,$E$1,FALSE)</f>
        <v>Nominal</v>
      </c>
      <c r="F801" s="3" t="s">
        <v>2348</v>
      </c>
      <c r="G801" s="3" t="s">
        <v>2348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26" t="str">
        <f>VLOOKUP(A802,Meta.Features!$A:$K,$E$1,FALSE)</f>
        <v>Nominal</v>
      </c>
      <c r="F802" s="3" t="s">
        <v>2349</v>
      </c>
      <c r="G802" s="3" t="s">
        <v>2349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26" t="str">
        <f>VLOOKUP(A803,Meta.Features!$A:$K,$E$1,FALSE)</f>
        <v>Nominal</v>
      </c>
      <c r="F803" s="3" t="s">
        <v>2350</v>
      </c>
      <c r="G803" s="3" t="s">
        <v>2350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26" t="str">
        <f>VLOOKUP(A804,Meta.Features!$A:$K,$E$1,FALSE)</f>
        <v>Nominal</v>
      </c>
      <c r="F804" s="3" t="s">
        <v>2351</v>
      </c>
      <c r="G804" s="3" t="s">
        <v>2351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26" t="str">
        <f>VLOOKUP(A805,Meta.Features!$A:$K,$E$1,FALSE)</f>
        <v>Nominal</v>
      </c>
      <c r="F805" s="3" t="s">
        <v>2352</v>
      </c>
      <c r="G805" s="3" t="s">
        <v>2352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26" t="str">
        <f>VLOOKUP(A806,Meta.Features!$A:$K,$E$1,FALSE)</f>
        <v>Nominal</v>
      </c>
      <c r="F806" s="3" t="s">
        <v>2353</v>
      </c>
      <c r="G806" s="3" t="s">
        <v>2353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26" t="str">
        <f>VLOOKUP(A807,Meta.Features!$A:$K,$E$1,FALSE)</f>
        <v>Nominal</v>
      </c>
      <c r="F807" s="3" t="s">
        <v>2354</v>
      </c>
      <c r="G807" s="3" t="s">
        <v>2354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26" t="str">
        <f>VLOOKUP(A808,Meta.Features!$A:$K,$E$1,FALSE)</f>
        <v>Nominal</v>
      </c>
      <c r="F808" s="3" t="s">
        <v>2355</v>
      </c>
      <c r="G808" s="3" t="s">
        <v>2355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26" t="str">
        <f>VLOOKUP(A809,Meta.Features!$A:$K,$E$1,FALSE)</f>
        <v>Nominal</v>
      </c>
      <c r="F809" s="3" t="s">
        <v>2356</v>
      </c>
      <c r="G809" s="3" t="s">
        <v>2356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26" t="str">
        <f>VLOOKUP(A810,Meta.Features!$A:$K,$E$1,FALSE)</f>
        <v>Nominal</v>
      </c>
      <c r="F810" s="3" t="s">
        <v>2357</v>
      </c>
      <c r="G810" s="3" t="s">
        <v>2357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26" t="str">
        <f>VLOOKUP(A811,Meta.Features!$A:$K,$E$1,FALSE)</f>
        <v>Nominal</v>
      </c>
      <c r="F811" s="3" t="s">
        <v>2358</v>
      </c>
      <c r="G811" s="3" t="s">
        <v>2358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26" t="str">
        <f>VLOOKUP(A812,Meta.Features!$A:$K,$E$1,FALSE)</f>
        <v>Nominal</v>
      </c>
      <c r="F812" s="3" t="s">
        <v>2359</v>
      </c>
      <c r="G812" s="3" t="s">
        <v>2359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26" t="str">
        <f>VLOOKUP(A813,Meta.Features!$A:$K,$E$1,FALSE)</f>
        <v>Nominal</v>
      </c>
      <c r="F813" s="3" t="s">
        <v>2360</v>
      </c>
      <c r="G813" s="3" t="s">
        <v>2360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26" t="str">
        <f>VLOOKUP(A814,Meta.Features!$A:$K,$E$1,FALSE)</f>
        <v>Nominal</v>
      </c>
      <c r="F814" s="3" t="s">
        <v>2361</v>
      </c>
      <c r="G814" s="3" t="s">
        <v>2361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26" t="str">
        <f>VLOOKUP(A815,Meta.Features!$A:$K,$E$1,FALSE)</f>
        <v>Nominal</v>
      </c>
      <c r="F815" s="3" t="s">
        <v>2362</v>
      </c>
      <c r="G815" s="3" t="s">
        <v>2362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26" t="str">
        <f>VLOOKUP(A816,Meta.Features!$A:$K,$E$1,FALSE)</f>
        <v>Nominal</v>
      </c>
      <c r="F816" s="3" t="s">
        <v>2363</v>
      </c>
      <c r="G816" s="3" t="s">
        <v>2363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26" t="str">
        <f>VLOOKUP(A817,Meta.Features!$A:$K,$E$1,FALSE)</f>
        <v>Nominal</v>
      </c>
      <c r="F817" s="3" t="s">
        <v>2364</v>
      </c>
      <c r="G817" s="3" t="s">
        <v>2364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26" t="str">
        <f>VLOOKUP(A818,Meta.Features!$A:$K,$E$1,FALSE)</f>
        <v>Nominal</v>
      </c>
      <c r="F818" s="3" t="s">
        <v>2365</v>
      </c>
      <c r="G818" s="3" t="s">
        <v>2365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26" t="str">
        <f>VLOOKUP(A819,Meta.Features!$A:$K,$E$1,FALSE)</f>
        <v>Nominal</v>
      </c>
      <c r="F819" s="3" t="s">
        <v>2366</v>
      </c>
      <c r="G819" s="3" t="s">
        <v>2366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26" t="str">
        <f>VLOOKUP(A820,Meta.Features!$A:$K,$E$1,FALSE)</f>
        <v>Nominal</v>
      </c>
      <c r="F820" s="3" t="s">
        <v>2367</v>
      </c>
      <c r="G820" s="3" t="s">
        <v>2367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26" t="str">
        <f>VLOOKUP(A821,Meta.Features!$A:$K,$E$1,FALSE)</f>
        <v>Nominal</v>
      </c>
      <c r="F821" s="3" t="s">
        <v>2368</v>
      </c>
      <c r="G821" s="3" t="s">
        <v>2368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26" t="str">
        <f>VLOOKUP(A822,Meta.Features!$A:$K,$E$1,FALSE)</f>
        <v>Nominal</v>
      </c>
      <c r="F822" s="3" t="s">
        <v>2369</v>
      </c>
      <c r="G822" s="3" t="s">
        <v>2369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26" t="str">
        <f>VLOOKUP(A823,Meta.Features!$A:$K,$E$1,FALSE)</f>
        <v>Nominal</v>
      </c>
      <c r="F823" s="3" t="s">
        <v>2370</v>
      </c>
      <c r="G823" s="3" t="s">
        <v>2370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26" t="str">
        <f>VLOOKUP(A824,Meta.Features!$A:$K,$E$1,FALSE)</f>
        <v>Nominal</v>
      </c>
      <c r="F824" s="3" t="s">
        <v>2371</v>
      </c>
      <c r="G824" s="3" t="s">
        <v>2371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26" t="str">
        <f>VLOOKUP(A825,Meta.Features!$A:$K,$E$1,FALSE)</f>
        <v>Nominal</v>
      </c>
      <c r="F825" s="3" t="s">
        <v>2372</v>
      </c>
      <c r="G825" s="3" t="s">
        <v>2372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26" t="str">
        <f>VLOOKUP(A826,Meta.Features!$A:$K,$E$1,FALSE)</f>
        <v>Nominal</v>
      </c>
      <c r="F826" s="3" t="s">
        <v>2373</v>
      </c>
      <c r="G826" s="3" t="s">
        <v>2373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26" t="str">
        <f>VLOOKUP(A827,Meta.Features!$A:$K,$E$1,FALSE)</f>
        <v>Nominal</v>
      </c>
      <c r="F827" s="3" t="s">
        <v>2374</v>
      </c>
      <c r="G827" s="3" t="s">
        <v>2374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26" t="str">
        <f>VLOOKUP(A828,Meta.Features!$A:$K,$E$1,FALSE)</f>
        <v>Nominal</v>
      </c>
      <c r="F828" s="3" t="s">
        <v>2375</v>
      </c>
      <c r="G828" s="3" t="s">
        <v>2375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26" t="str">
        <f>VLOOKUP(A829,Meta.Features!$A:$K,$E$1,FALSE)</f>
        <v>Nominal</v>
      </c>
      <c r="F829" s="3" t="s">
        <v>2376</v>
      </c>
      <c r="G829" s="3" t="s">
        <v>2376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26" t="str">
        <f>VLOOKUP(A830,Meta.Features!$A:$K,$E$1,FALSE)</f>
        <v>Nominal</v>
      </c>
      <c r="F830" s="3" t="s">
        <v>2377</v>
      </c>
      <c r="G830" s="3" t="s">
        <v>2377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26" t="str">
        <f>VLOOKUP(A831,Meta.Features!$A:$K,$E$1,FALSE)</f>
        <v>Nominal</v>
      </c>
      <c r="F831" s="3" t="s">
        <v>2378</v>
      </c>
      <c r="G831" s="3" t="s">
        <v>2378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26" t="str">
        <f>VLOOKUP(A832,Meta.Features!$A:$K,$E$1,FALSE)</f>
        <v>Nominal</v>
      </c>
      <c r="F832" s="3" t="s">
        <v>2379</v>
      </c>
      <c r="G832" s="3" t="s">
        <v>2379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26" t="str">
        <f>VLOOKUP(A833,Meta.Features!$A:$K,$E$1,FALSE)</f>
        <v>Nominal</v>
      </c>
      <c r="F833" s="3" t="s">
        <v>2380</v>
      </c>
      <c r="G833" s="3" t="s">
        <v>2380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26" t="str">
        <f>VLOOKUP(A834,Meta.Features!$A:$K,$E$1,FALSE)</f>
        <v>Nominal</v>
      </c>
      <c r="F834" s="3" t="s">
        <v>2381</v>
      </c>
      <c r="G834" s="3" t="s">
        <v>2381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26" t="str">
        <f>VLOOKUP(A835,Meta.Features!$A:$K,$E$1,FALSE)</f>
        <v>Nominal</v>
      </c>
      <c r="F835" s="3" t="s">
        <v>2382</v>
      </c>
      <c r="G835" s="3" t="s">
        <v>2382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26" t="str">
        <f>VLOOKUP(A836,Meta.Features!$A:$K,$E$1,FALSE)</f>
        <v>Nominal</v>
      </c>
      <c r="F836" s="3" t="s">
        <v>2383</v>
      </c>
      <c r="G836" s="3" t="s">
        <v>2383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26" t="str">
        <f>VLOOKUP(A837,Meta.Features!$A:$K,$E$1,FALSE)</f>
        <v>Nominal</v>
      </c>
      <c r="F837" s="3" t="s">
        <v>2384</v>
      </c>
      <c r="G837" s="3" t="s">
        <v>2384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26" t="str">
        <f>VLOOKUP(A838,Meta.Features!$A:$K,$E$1,FALSE)</f>
        <v>Nominal</v>
      </c>
      <c r="F838" s="3" t="s">
        <v>2385</v>
      </c>
      <c r="G838" s="3" t="s">
        <v>2385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26" t="str">
        <f>VLOOKUP(A839,Meta.Features!$A:$K,$E$1,FALSE)</f>
        <v>Nominal</v>
      </c>
      <c r="F839" s="3" t="s">
        <v>2386</v>
      </c>
      <c r="G839" s="3" t="s">
        <v>2386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26" t="str">
        <f>VLOOKUP(A840,Meta.Features!$A:$K,$E$1,FALSE)</f>
        <v>Nominal</v>
      </c>
      <c r="F840" s="3" t="s">
        <v>2387</v>
      </c>
      <c r="G840" s="3" t="s">
        <v>2387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26" t="str">
        <f>VLOOKUP(A841,Meta.Features!$A:$K,$E$1,FALSE)</f>
        <v>Nominal</v>
      </c>
      <c r="F841" s="3" t="s">
        <v>2388</v>
      </c>
      <c r="G841" s="3" t="s">
        <v>2388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26" t="str">
        <f>VLOOKUP(A842,Meta.Features!$A:$K,$E$1,FALSE)</f>
        <v>Nominal</v>
      </c>
      <c r="F842" s="3" t="s">
        <v>2389</v>
      </c>
      <c r="G842" s="3" t="s">
        <v>2389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26" t="str">
        <f>VLOOKUP(A843,Meta.Features!$A:$K,$E$1,FALSE)</f>
        <v>Nominal</v>
      </c>
      <c r="F843" s="3" t="s">
        <v>2390</v>
      </c>
      <c r="G843" s="3" t="s">
        <v>2390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26" t="str">
        <f>VLOOKUP(A844,Meta.Features!$A:$K,$E$1,FALSE)</f>
        <v>Nominal</v>
      </c>
      <c r="F844" s="3" t="s">
        <v>2391</v>
      </c>
      <c r="G844" s="3" t="s">
        <v>2391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26" t="str">
        <f>VLOOKUP(A845,Meta.Features!$A:$K,$E$1,FALSE)</f>
        <v>Nominal</v>
      </c>
      <c r="F845" s="3" t="s">
        <v>2392</v>
      </c>
      <c r="G845" s="3" t="s">
        <v>2392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26" t="str">
        <f>VLOOKUP(A846,Meta.Features!$A:$K,$E$1,FALSE)</f>
        <v>Nominal</v>
      </c>
      <c r="F846" s="3" t="s">
        <v>2393</v>
      </c>
      <c r="G846" s="3" t="s">
        <v>2393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26" t="str">
        <f>VLOOKUP(A847,Meta.Features!$A:$K,$E$1,FALSE)</f>
        <v>Nominal</v>
      </c>
      <c r="F847" s="3" t="s">
        <v>2394</v>
      </c>
      <c r="G847" s="3" t="s">
        <v>2394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26" t="str">
        <f>VLOOKUP(A848,Meta.Features!$A:$K,$E$1,FALSE)</f>
        <v>Nominal</v>
      </c>
      <c r="F848" s="3" t="s">
        <v>2395</v>
      </c>
      <c r="G848" s="3" t="s">
        <v>2395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26" t="str">
        <f>VLOOKUP(A849,Meta.Features!$A:$K,$E$1,FALSE)</f>
        <v>Nominal</v>
      </c>
      <c r="F849" s="3" t="s">
        <v>2396</v>
      </c>
      <c r="G849" s="3" t="s">
        <v>2396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26" t="str">
        <f>VLOOKUP(A850,Meta.Features!$A:$K,$E$1,FALSE)</f>
        <v>Nominal</v>
      </c>
      <c r="F850" s="3" t="s">
        <v>2397</v>
      </c>
      <c r="G850" s="3" t="s">
        <v>2397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26" t="str">
        <f>VLOOKUP(A851,Meta.Features!$A:$K,$E$1,FALSE)</f>
        <v>Nominal</v>
      </c>
      <c r="F851" s="3" t="s">
        <v>2398</v>
      </c>
      <c r="G851" s="3" t="s">
        <v>2398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26" t="str">
        <f>VLOOKUP(A852,Meta.Features!$A:$K,$E$1,FALSE)</f>
        <v>Nominal</v>
      </c>
      <c r="F852" s="3" t="s">
        <v>2399</v>
      </c>
      <c r="G852" s="3" t="s">
        <v>2399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26" t="str">
        <f>VLOOKUP(A853,Meta.Features!$A:$K,$E$1,FALSE)</f>
        <v>Nominal</v>
      </c>
      <c r="F853" s="3" t="s">
        <v>2400</v>
      </c>
      <c r="G853" s="3" t="s">
        <v>2400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26" t="str">
        <f>VLOOKUP(A854,Meta.Features!$A:$K,$E$1,FALSE)</f>
        <v>Nominal</v>
      </c>
      <c r="F854" s="3" t="s">
        <v>2401</v>
      </c>
      <c r="G854" s="3" t="s">
        <v>2401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26" t="str">
        <f>VLOOKUP(A855,Meta.Features!$A:$K,$E$1,FALSE)</f>
        <v>Nominal</v>
      </c>
      <c r="F855" s="3" t="s">
        <v>2402</v>
      </c>
      <c r="G855" s="3" t="s">
        <v>2402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26" t="str">
        <f>VLOOKUP(A856,Meta.Features!$A:$K,$E$1,FALSE)</f>
        <v>Nominal</v>
      </c>
      <c r="F856" s="3" t="s">
        <v>2403</v>
      </c>
      <c r="G856" s="3" t="s">
        <v>2403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26" t="str">
        <f>VLOOKUP(A857,Meta.Features!$A:$K,$E$1,FALSE)</f>
        <v>Nominal</v>
      </c>
      <c r="F857" s="3" t="s">
        <v>2404</v>
      </c>
      <c r="G857" s="3" t="s">
        <v>2404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26" t="str">
        <f>VLOOKUP(A858,Meta.Features!$A:$K,$E$1,FALSE)</f>
        <v>Nominal</v>
      </c>
      <c r="F858" s="3" t="s">
        <v>2405</v>
      </c>
      <c r="G858" s="3" t="s">
        <v>2405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26" t="str">
        <f>VLOOKUP(A859,Meta.Features!$A:$K,$E$1,FALSE)</f>
        <v>Nominal</v>
      </c>
      <c r="F859" s="3" t="s">
        <v>2406</v>
      </c>
      <c r="G859" s="3" t="s">
        <v>2406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26" t="str">
        <f>VLOOKUP(A860,Meta.Features!$A:$K,$E$1,FALSE)</f>
        <v>Nominal</v>
      </c>
      <c r="F860" s="3" t="s">
        <v>2407</v>
      </c>
      <c r="G860" s="3" t="s">
        <v>2407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26" t="str">
        <f>VLOOKUP(A861,Meta.Features!$A:$K,$E$1,FALSE)</f>
        <v>Nominal</v>
      </c>
      <c r="F861" s="3" t="s">
        <v>2408</v>
      </c>
      <c r="G861" s="3" t="s">
        <v>2408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26" t="str">
        <f>VLOOKUP(A862,Meta.Features!$A:$K,$E$1,FALSE)</f>
        <v>Nominal</v>
      </c>
      <c r="F862" s="3" t="s">
        <v>2409</v>
      </c>
      <c r="G862" s="3" t="s">
        <v>2409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26" t="str">
        <f>VLOOKUP(A863,Meta.Features!$A:$K,$E$1,FALSE)</f>
        <v>Nominal</v>
      </c>
      <c r="F863" s="3" t="s">
        <v>2410</v>
      </c>
      <c r="G863" s="3" t="s">
        <v>2410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26" t="str">
        <f>VLOOKUP(A864,Meta.Features!$A:$K,$E$1,FALSE)</f>
        <v>Nominal</v>
      </c>
      <c r="F864" s="3" t="s">
        <v>2411</v>
      </c>
      <c r="G864" s="3" t="s">
        <v>2411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26" t="str">
        <f>VLOOKUP(A865,Meta.Features!$A:$K,$E$1,FALSE)</f>
        <v>Nominal</v>
      </c>
      <c r="F865" s="3" t="s">
        <v>2412</v>
      </c>
      <c r="G865" s="3" t="s">
        <v>2412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26" t="str">
        <f>VLOOKUP(A866,Meta.Features!$A:$K,$E$1,FALSE)</f>
        <v>Nominal</v>
      </c>
      <c r="F866" s="3" t="s">
        <v>2413</v>
      </c>
      <c r="G866" s="3" t="s">
        <v>2413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26" t="str">
        <f>VLOOKUP(A867,Meta.Features!$A:$K,$E$1,FALSE)</f>
        <v>Nominal</v>
      </c>
      <c r="F867" s="3" t="s">
        <v>2414</v>
      </c>
      <c r="G867" s="3" t="s">
        <v>2414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26" t="str">
        <f>VLOOKUP(A868,Meta.Features!$A:$K,$E$1,FALSE)</f>
        <v>Nominal</v>
      </c>
      <c r="F868" s="3" t="s">
        <v>2415</v>
      </c>
      <c r="G868" s="3" t="s">
        <v>2415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26" t="str">
        <f>VLOOKUP(A869,Meta.Features!$A:$K,$E$1,FALSE)</f>
        <v>Nominal</v>
      </c>
      <c r="F869" s="3" t="s">
        <v>2416</v>
      </c>
      <c r="G869" s="3" t="s">
        <v>2416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26" t="str">
        <f>VLOOKUP(A870,Meta.Features!$A:$K,$E$1,FALSE)</f>
        <v>Nominal</v>
      </c>
      <c r="F870" s="3" t="s">
        <v>2417</v>
      </c>
      <c r="G870" s="3" t="s">
        <v>2417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26" t="str">
        <f>VLOOKUP(A871,Meta.Features!$A:$K,$E$1,FALSE)</f>
        <v>Nominal</v>
      </c>
      <c r="F871" s="3" t="s">
        <v>2418</v>
      </c>
      <c r="G871" s="3" t="s">
        <v>2418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26" t="str">
        <f>VLOOKUP(A872,Meta.Features!$A:$K,$E$1,FALSE)</f>
        <v>Nominal</v>
      </c>
      <c r="F872" s="3" t="s">
        <v>2419</v>
      </c>
      <c r="G872" s="3" t="s">
        <v>2419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26" t="str">
        <f>VLOOKUP(A873,Meta.Features!$A:$K,$E$1,FALSE)</f>
        <v>Nominal</v>
      </c>
      <c r="F873" s="3" t="s">
        <v>2420</v>
      </c>
      <c r="G873" s="3" t="s">
        <v>2420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26" t="str">
        <f>VLOOKUP(A874,Meta.Features!$A:$K,$E$1,FALSE)</f>
        <v>Nominal</v>
      </c>
      <c r="F874" s="3" t="s">
        <v>2421</v>
      </c>
      <c r="G874" s="3" t="s">
        <v>2421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26" t="str">
        <f>VLOOKUP(A875,Meta.Features!$A:$K,$E$1,FALSE)</f>
        <v>Nominal</v>
      </c>
      <c r="F875" s="3" t="s">
        <v>2422</v>
      </c>
      <c r="G875" s="3" t="s">
        <v>2422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26" t="str">
        <f>VLOOKUP(A876,Meta.Features!$A:$K,$E$1,FALSE)</f>
        <v>Nominal</v>
      </c>
      <c r="F876" s="3" t="s">
        <v>2423</v>
      </c>
      <c r="G876" s="3" t="s">
        <v>2423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26" t="str">
        <f>VLOOKUP(A877,Meta.Features!$A:$K,$E$1,FALSE)</f>
        <v>Nominal</v>
      </c>
      <c r="F877" s="3" t="s">
        <v>2424</v>
      </c>
      <c r="G877" s="3" t="s">
        <v>2424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26" t="str">
        <f>VLOOKUP(A878,Meta.Features!$A:$K,$E$1,FALSE)</f>
        <v>Nominal</v>
      </c>
      <c r="F878" s="3" t="s">
        <v>2425</v>
      </c>
      <c r="G878" s="3" t="s">
        <v>2425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26" t="str">
        <f>VLOOKUP(A879,Meta.Features!$A:$K,$E$1,FALSE)</f>
        <v>Nominal</v>
      </c>
      <c r="F879" s="3" t="s">
        <v>2426</v>
      </c>
      <c r="G879" s="3" t="s">
        <v>2426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26" t="str">
        <f>VLOOKUP(A880,Meta.Features!$A:$K,$E$1,FALSE)</f>
        <v>Nominal</v>
      </c>
      <c r="F880" s="3" t="s">
        <v>2427</v>
      </c>
      <c r="G880" s="3" t="s">
        <v>2427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26" t="str">
        <f>VLOOKUP(A881,Meta.Features!$A:$K,$E$1,FALSE)</f>
        <v>Nominal</v>
      </c>
      <c r="F881" s="3" t="s">
        <v>2428</v>
      </c>
      <c r="G881" s="3" t="s">
        <v>2428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26" t="str">
        <f>VLOOKUP(A882,Meta.Features!$A:$K,$E$1,FALSE)</f>
        <v>Nominal</v>
      </c>
      <c r="F882" s="3" t="s">
        <v>2429</v>
      </c>
      <c r="G882" s="3" t="s">
        <v>2429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26" t="str">
        <f>VLOOKUP(A883,Meta.Features!$A:$K,$E$1,FALSE)</f>
        <v>Nominal</v>
      </c>
      <c r="F883" s="3" t="s">
        <v>2430</v>
      </c>
      <c r="G883" s="3" t="s">
        <v>2430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26" t="str">
        <f>VLOOKUP(A884,Meta.Features!$A:$K,$E$1,FALSE)</f>
        <v>Nominal</v>
      </c>
      <c r="F884" s="3" t="s">
        <v>2431</v>
      </c>
      <c r="G884" s="3" t="s">
        <v>2431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26" t="str">
        <f>VLOOKUP(A885,Meta.Features!$A:$K,$E$1,FALSE)</f>
        <v>Nominal</v>
      </c>
      <c r="F885" s="3" t="s">
        <v>2432</v>
      </c>
      <c r="G885" s="3" t="s">
        <v>2432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26" t="str">
        <f>VLOOKUP(A886,Meta.Features!$A:$K,$E$1,FALSE)</f>
        <v>Nominal</v>
      </c>
      <c r="F886" s="3" t="s">
        <v>2433</v>
      </c>
      <c r="G886" s="3" t="s">
        <v>2433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26" t="str">
        <f>VLOOKUP(A887,Meta.Features!$A:$K,$E$1,FALSE)</f>
        <v>Nominal</v>
      </c>
      <c r="F887" s="3" t="s">
        <v>2434</v>
      </c>
      <c r="G887" s="3" t="s">
        <v>2434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26" t="str">
        <f>VLOOKUP(A888,Meta.Features!$A:$K,$E$1,FALSE)</f>
        <v>Nominal</v>
      </c>
      <c r="F888" s="3" t="s">
        <v>2435</v>
      </c>
      <c r="G888" s="3" t="s">
        <v>2435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26" t="str">
        <f>VLOOKUP(A889,Meta.Features!$A:$K,$E$1,FALSE)</f>
        <v>Nominal</v>
      </c>
      <c r="F889" s="3" t="s">
        <v>2436</v>
      </c>
      <c r="G889" s="3" t="s">
        <v>2436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26" t="str">
        <f>VLOOKUP(A890,Meta.Features!$A:$K,$E$1,FALSE)</f>
        <v>Nominal</v>
      </c>
      <c r="F890" s="3" t="s">
        <v>2437</v>
      </c>
      <c r="G890" s="3" t="s">
        <v>2437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26" t="str">
        <f>VLOOKUP(A891,Meta.Features!$A:$K,$E$1,FALSE)</f>
        <v>Nominal</v>
      </c>
      <c r="F891" s="3" t="s">
        <v>2438</v>
      </c>
      <c r="G891" s="3" t="s">
        <v>2438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26" t="str">
        <f>VLOOKUP(A892,Meta.Features!$A:$K,$E$1,FALSE)</f>
        <v>Nominal</v>
      </c>
      <c r="F892" s="3" t="s">
        <v>2439</v>
      </c>
      <c r="G892" s="3" t="s">
        <v>2439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26" t="str">
        <f>VLOOKUP(A893,Meta.Features!$A:$K,$E$1,FALSE)</f>
        <v>Nominal</v>
      </c>
      <c r="F893" s="3" t="s">
        <v>2440</v>
      </c>
      <c r="G893" s="3" t="s">
        <v>2440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26" t="str">
        <f>VLOOKUP(A894,Meta.Features!$A:$K,$E$1,FALSE)</f>
        <v>Nominal</v>
      </c>
      <c r="F894" s="3" t="s">
        <v>2441</v>
      </c>
      <c r="G894" s="3" t="s">
        <v>2441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26" t="str">
        <f>VLOOKUP(A895,Meta.Features!$A:$K,$E$1,FALSE)</f>
        <v>Nominal</v>
      </c>
      <c r="F895" s="3" t="s">
        <v>2442</v>
      </c>
      <c r="G895" s="3" t="s">
        <v>2442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26" t="str">
        <f>VLOOKUP(A896,Meta.Features!$A:$K,$E$1,FALSE)</f>
        <v>Nominal</v>
      </c>
      <c r="F896" s="3" t="s">
        <v>2443</v>
      </c>
      <c r="G896" s="3" t="s">
        <v>2443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26" t="str">
        <f>VLOOKUP(A897,Meta.Features!$A:$K,$E$1,FALSE)</f>
        <v>Nominal</v>
      </c>
      <c r="F897" s="3" t="s">
        <v>2444</v>
      </c>
      <c r="G897" s="3" t="s">
        <v>2444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26" t="str">
        <f>VLOOKUP(A898,Meta.Features!$A:$K,$E$1,FALSE)</f>
        <v>Nominal</v>
      </c>
      <c r="F898" s="3" t="s">
        <v>2445</v>
      </c>
      <c r="G898" s="3" t="s">
        <v>2445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26" t="str">
        <f>VLOOKUP(A899,Meta.Features!$A:$K,$E$1,FALSE)</f>
        <v>Nominal</v>
      </c>
      <c r="F899" s="3" t="s">
        <v>2446</v>
      </c>
      <c r="G899" s="3" t="s">
        <v>2446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26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26" t="str">
        <f>VLOOKUP(A901,Meta.Features!$A:$K,$E$1,FALSE)</f>
        <v>Nominal</v>
      </c>
      <c r="F901" s="45" t="s">
        <v>2053</v>
      </c>
      <c r="G901" s="45" t="s">
        <v>2053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26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26" t="str">
        <f>VLOOKUP(A903,Meta.Features!$A:$K,$E$1,FALSE)</f>
        <v>Nominal</v>
      </c>
      <c r="F903" s="45" t="s">
        <v>2052</v>
      </c>
      <c r="G903" s="45" t="s">
        <v>2052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26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26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26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26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26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26" t="str">
        <f>VLOOKUP(A909,Meta.Features!$A:$K,$E$1,FALSE)</f>
        <v>Nominal</v>
      </c>
      <c r="F909" s="45" t="s">
        <v>2062</v>
      </c>
      <c r="G909" s="45" t="s">
        <v>2062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26" t="str">
        <f>VLOOKUP(A910,Meta.Features!$A:$K,$E$1,FALSE)</f>
        <v>Nominal</v>
      </c>
      <c r="F910" s="45" t="s">
        <v>1715</v>
      </c>
      <c r="G910" s="45" t="s">
        <v>1715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26" t="str">
        <f>VLOOKUP(A911,Meta.Features!$A:$K,$E$1,FALSE)</f>
        <v>Nominal</v>
      </c>
      <c r="F911" s="45" t="s">
        <v>2061</v>
      </c>
      <c r="G911" s="45" t="s">
        <v>2061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26" t="str">
        <f>VLOOKUP(A912,Meta.Features!$A:$K,$E$1,FALSE)</f>
        <v>Nominal</v>
      </c>
      <c r="F912" s="45" t="s">
        <v>1915</v>
      </c>
      <c r="G912" s="45" t="s">
        <v>1915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26" t="str">
        <f>VLOOKUP(A913,Meta.Features!$A:$K,$E$1,FALSE)</f>
        <v>Nominal</v>
      </c>
      <c r="F913" s="45" t="s">
        <v>1989</v>
      </c>
      <c r="G913" s="45" t="s">
        <v>1989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26" t="str">
        <f>VLOOKUP(A914,Meta.Features!$A:$K,$E$1,FALSE)</f>
        <v>Nominal</v>
      </c>
      <c r="F914" s="45" t="s">
        <v>1998</v>
      </c>
      <c r="G914" s="45" t="s">
        <v>1998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26" t="str">
        <f>VLOOKUP(A915,Meta.Features!$A:$K,$E$1,FALSE)</f>
        <v>Nominal</v>
      </c>
      <c r="F915" s="45" t="s">
        <v>1729</v>
      </c>
      <c r="G915" s="45" t="s">
        <v>1729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26" t="str">
        <f>VLOOKUP(A916,Meta.Features!$A:$K,$E$1,FALSE)</f>
        <v>Nominal</v>
      </c>
      <c r="F916" s="45" t="s">
        <v>2050</v>
      </c>
      <c r="G916" s="45" t="s">
        <v>2050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26" t="str">
        <f>VLOOKUP(A917,Meta.Features!$A:$K,$E$1,FALSE)</f>
        <v>Nominal</v>
      </c>
      <c r="F917" s="45" t="s">
        <v>2110</v>
      </c>
      <c r="G917" s="45" t="s">
        <v>2110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26" t="str">
        <f>VLOOKUP(A918,Meta.Features!$A:$K,$E$1,FALSE)</f>
        <v>Nominal</v>
      </c>
      <c r="F918" s="45" t="s">
        <v>1865</v>
      </c>
      <c r="G918" s="45" t="s">
        <v>1865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26" t="str">
        <f>VLOOKUP(A919,Meta.Features!$A:$K,$E$1,FALSE)</f>
        <v>Nominal</v>
      </c>
      <c r="F919" s="45" t="s">
        <v>1894</v>
      </c>
      <c r="G919" s="45" t="s">
        <v>1894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26" t="str">
        <f>VLOOKUP(A920,Meta.Features!$A:$K,$E$1,FALSE)</f>
        <v>Nominal</v>
      </c>
      <c r="F920" s="45" t="s">
        <v>1761</v>
      </c>
      <c r="G920" s="45" t="s">
        <v>1761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26" t="str">
        <f>VLOOKUP(A921,Meta.Features!$A:$K,$E$1,FALSE)</f>
        <v>Nominal</v>
      </c>
      <c r="F921" s="45" t="s">
        <v>1897</v>
      </c>
      <c r="G921" s="45" t="s">
        <v>1897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26" t="str">
        <f>VLOOKUP(A922,Meta.Features!$A:$K,$E$1,FALSE)</f>
        <v>Nominal</v>
      </c>
      <c r="F922" s="45" t="s">
        <v>1955</v>
      </c>
      <c r="G922" s="45" t="s">
        <v>1955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26" t="str">
        <f>VLOOKUP(A923,Meta.Features!$A:$K,$E$1,FALSE)</f>
        <v>Nominal</v>
      </c>
      <c r="F923" s="45" t="s">
        <v>1859</v>
      </c>
      <c r="G923" s="45" t="s">
        <v>1859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26" t="str">
        <f>VLOOKUP(A924,Meta.Features!$A:$K,$E$1,FALSE)</f>
        <v>Nominal</v>
      </c>
      <c r="F924" s="45" t="s">
        <v>1838</v>
      </c>
      <c r="G924" s="45" t="s">
        <v>1838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26" t="str">
        <f>VLOOKUP(A925,Meta.Features!$A:$K,$E$1,FALSE)</f>
        <v>Nominal</v>
      </c>
      <c r="F925" s="45" t="s">
        <v>1701</v>
      </c>
      <c r="G925" s="45" t="s">
        <v>1701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26" t="str">
        <f>VLOOKUP(A926,Meta.Features!$A:$K,$E$1,FALSE)</f>
        <v>Nominal</v>
      </c>
      <c r="F926" s="45" t="s">
        <v>1895</v>
      </c>
      <c r="G926" s="45" t="s">
        <v>1895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26" t="str">
        <f>VLOOKUP(A927,Meta.Features!$A:$K,$E$1,FALSE)</f>
        <v>Nominal</v>
      </c>
      <c r="F927" s="45" t="s">
        <v>1911</v>
      </c>
      <c r="G927" s="45" t="s">
        <v>1911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26" t="str">
        <f>VLOOKUP(A928,Meta.Features!$A:$K,$E$1,FALSE)</f>
        <v>Nominal</v>
      </c>
      <c r="F928" s="45" t="s">
        <v>2068</v>
      </c>
      <c r="G928" s="45" t="s">
        <v>2068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26" t="str">
        <f>VLOOKUP(A929,Meta.Features!$A:$K,$E$1,FALSE)</f>
        <v>Nominal</v>
      </c>
      <c r="F929" s="45" t="s">
        <v>1957</v>
      </c>
      <c r="G929" s="45" t="s">
        <v>1957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26" t="str">
        <f>VLOOKUP(A930,Meta.Features!$A:$K,$E$1,FALSE)</f>
        <v>Nominal</v>
      </c>
      <c r="F930" s="45" t="s">
        <v>1971</v>
      </c>
      <c r="G930" s="45" t="s">
        <v>1971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26" t="str">
        <f>VLOOKUP(A931,Meta.Features!$A:$K,$E$1,FALSE)</f>
        <v>Nominal</v>
      </c>
      <c r="F931" s="45" t="s">
        <v>2005</v>
      </c>
      <c r="G931" s="45" t="s">
        <v>2005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26" t="str">
        <f>VLOOKUP(A932,Meta.Features!$A:$K,$E$1,FALSE)</f>
        <v>Nominal</v>
      </c>
      <c r="F932" s="45" t="s">
        <v>2037</v>
      </c>
      <c r="G932" s="45" t="s">
        <v>2037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26" t="str">
        <f>VLOOKUP(A933,Meta.Features!$A:$K,$E$1,FALSE)</f>
        <v>Nominal</v>
      </c>
      <c r="F933" s="45" t="s">
        <v>2015</v>
      </c>
      <c r="G933" s="45" t="s">
        <v>2015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26" t="str">
        <f>VLOOKUP(A934,Meta.Features!$A:$K,$E$1,FALSE)</f>
        <v>Nominal</v>
      </c>
      <c r="F934" s="45" t="s">
        <v>1689</v>
      </c>
      <c r="G934" s="45" t="s">
        <v>1689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26" t="str">
        <f>VLOOKUP(A935,Meta.Features!$A:$K,$E$1,FALSE)</f>
        <v>Nominal</v>
      </c>
      <c r="F935" s="45" t="s">
        <v>2045</v>
      </c>
      <c r="G935" s="45" t="s">
        <v>2045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26" t="str">
        <f>VLOOKUP(A936,Meta.Features!$A:$K,$E$1,FALSE)</f>
        <v>Nominal</v>
      </c>
      <c r="F936" s="45" t="s">
        <v>2115</v>
      </c>
      <c r="G936" s="45" t="s">
        <v>2115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26" t="str">
        <f>VLOOKUP(A937,Meta.Features!$A:$K,$E$1,FALSE)</f>
        <v>Nominal</v>
      </c>
      <c r="F937" s="45" t="s">
        <v>2047</v>
      </c>
      <c r="G937" s="45" t="s">
        <v>2047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26" t="str">
        <f>VLOOKUP(A938,Meta.Features!$A:$K,$E$1,FALSE)</f>
        <v>Nominal</v>
      </c>
      <c r="F938" s="45" t="s">
        <v>2048</v>
      </c>
      <c r="G938" s="45" t="s">
        <v>2048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26" t="str">
        <f>VLOOKUP(A939,Meta.Features!$A:$K,$E$1,FALSE)</f>
        <v>Nominal</v>
      </c>
      <c r="F939" s="45" t="s">
        <v>1953</v>
      </c>
      <c r="G939" s="45" t="s">
        <v>1953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26" t="str">
        <f>VLOOKUP(A940,Meta.Features!$A:$K,$E$1,FALSE)</f>
        <v>Nominal</v>
      </c>
      <c r="F940" s="45" t="s">
        <v>2055</v>
      </c>
      <c r="G940" s="45" t="s">
        <v>2055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26" t="str">
        <f>VLOOKUP(A941,Meta.Features!$A:$K,$E$1,FALSE)</f>
        <v>Nominal</v>
      </c>
      <c r="F941" s="45" t="s">
        <v>1908</v>
      </c>
      <c r="G941" s="45" t="s">
        <v>1908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26" t="str">
        <f>VLOOKUP(A942,Meta.Features!$A:$K,$E$1,FALSE)</f>
        <v>Nominal</v>
      </c>
      <c r="F942" s="45" t="s">
        <v>1712</v>
      </c>
      <c r="G942" s="45" t="s">
        <v>1712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26" t="str">
        <f>VLOOKUP(A943,Meta.Features!$A:$K,$E$1,FALSE)</f>
        <v>Nominal</v>
      </c>
      <c r="F943" s="45" t="s">
        <v>1896</v>
      </c>
      <c r="G943" s="45" t="s">
        <v>1896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26" t="str">
        <f>VLOOKUP(A944,Meta.Features!$A:$K,$E$1,FALSE)</f>
        <v>Nominal</v>
      </c>
      <c r="F944" s="45" t="s">
        <v>1811</v>
      </c>
      <c r="G944" s="45" t="s">
        <v>1811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26" t="str">
        <f>VLOOKUP(A945,Meta.Features!$A:$K,$E$1,FALSE)</f>
        <v>Nominal</v>
      </c>
      <c r="F945" s="45" t="s">
        <v>1723</v>
      </c>
      <c r="G945" s="45" t="s">
        <v>1723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26" t="str">
        <f>VLOOKUP(A946,Meta.Features!$A:$K,$E$1,FALSE)</f>
        <v>Nominal</v>
      </c>
      <c r="F946" s="45" t="s">
        <v>2123</v>
      </c>
      <c r="G946" s="45" t="s">
        <v>2123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26" t="str">
        <f>VLOOKUP(A947,Meta.Features!$A:$K,$E$1,FALSE)</f>
        <v>Nominal</v>
      </c>
      <c r="F947" s="45" t="s">
        <v>1784</v>
      </c>
      <c r="G947" s="45" t="s">
        <v>1784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26" t="str">
        <f>VLOOKUP(A948,Meta.Features!$A:$K,$E$1,FALSE)</f>
        <v>Nominal</v>
      </c>
      <c r="F948" s="45" t="s">
        <v>1810</v>
      </c>
      <c r="G948" s="45" t="s">
        <v>1810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26" t="str">
        <f>VLOOKUP(A949,Meta.Features!$A:$K,$E$1,FALSE)</f>
        <v>Nominal</v>
      </c>
      <c r="F949" s="45" t="s">
        <v>1887</v>
      </c>
      <c r="G949" s="45" t="s">
        <v>1887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26" t="str">
        <f>VLOOKUP(A950,Meta.Features!$A:$K,$E$1,FALSE)</f>
        <v>Nominal</v>
      </c>
      <c r="F950" s="45" t="s">
        <v>1750</v>
      </c>
      <c r="G950" s="45" t="s">
        <v>1750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26" t="str">
        <f>VLOOKUP(A951,Meta.Features!$A:$K,$E$1,FALSE)</f>
        <v>Nominal</v>
      </c>
      <c r="F951" s="45" t="s">
        <v>1660</v>
      </c>
      <c r="G951" s="45" t="s">
        <v>1660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26" t="str">
        <f>VLOOKUP(A952,Meta.Features!$A:$K,$E$1,FALSE)</f>
        <v>Nominal</v>
      </c>
      <c r="F952" s="45" t="s">
        <v>2127</v>
      </c>
      <c r="G952" s="45" t="s">
        <v>2127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26" t="str">
        <f>VLOOKUP(A953,Meta.Features!$A:$K,$E$1,FALSE)</f>
        <v>Nominal</v>
      </c>
      <c r="F953" s="45" t="s">
        <v>2004</v>
      </c>
      <c r="G953" s="45" t="s">
        <v>2004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26" t="str">
        <f>VLOOKUP(A954,Meta.Features!$A:$K,$E$1,FALSE)</f>
        <v>Nominal</v>
      </c>
      <c r="F954" s="45" t="s">
        <v>2001</v>
      </c>
      <c r="G954" s="45" t="s">
        <v>2001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1974</v>
      </c>
      <c r="G955" s="45" t="s">
        <v>1974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2098</v>
      </c>
      <c r="G956" s="45" t="s">
        <v>2098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2067</v>
      </c>
      <c r="G957" s="45" t="s">
        <v>2067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2021</v>
      </c>
      <c r="G958" s="45" t="s">
        <v>2021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2111</v>
      </c>
      <c r="G959" s="45" t="s">
        <v>2111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1835</v>
      </c>
      <c r="G960" s="45" t="s">
        <v>1835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2054</v>
      </c>
      <c r="G961" s="45" t="s">
        <v>2054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2108</v>
      </c>
      <c r="G962" s="45" t="s">
        <v>2108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1873</v>
      </c>
      <c r="G963" s="45" t="s">
        <v>1873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1686</v>
      </c>
      <c r="G964" s="45" t="s">
        <v>1686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2057</v>
      </c>
      <c r="G965" s="45" t="s">
        <v>2057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1927</v>
      </c>
      <c r="G966" s="45" t="s">
        <v>1927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1623</v>
      </c>
      <c r="G967" s="45" t="s">
        <v>1623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1831</v>
      </c>
      <c r="G968" s="45" t="s">
        <v>1831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1819</v>
      </c>
      <c r="G969" s="45" t="s">
        <v>1819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1866</v>
      </c>
      <c r="G970" s="45" t="s">
        <v>1866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1951</v>
      </c>
      <c r="G971" s="45" t="s">
        <v>1951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2085</v>
      </c>
      <c r="G972" s="45" t="s">
        <v>2085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1734</v>
      </c>
      <c r="G973" s="45" t="s">
        <v>1734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1703</v>
      </c>
      <c r="G974" s="45" t="s">
        <v>1703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1827</v>
      </c>
      <c r="G975" s="45" t="s">
        <v>1827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1867</v>
      </c>
      <c r="G976" s="45" t="s">
        <v>1867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1710</v>
      </c>
      <c r="G977" s="45" t="s">
        <v>1710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1825</v>
      </c>
      <c r="G978" s="45" t="s">
        <v>1825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1890</v>
      </c>
      <c r="G979" s="45" t="s">
        <v>1890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2073</v>
      </c>
      <c r="G980" s="45" t="s">
        <v>2073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1730</v>
      </c>
      <c r="G981" s="45" t="s">
        <v>1730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2076</v>
      </c>
      <c r="G982" s="45" t="s">
        <v>2076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1939</v>
      </c>
      <c r="G983" s="45" t="s">
        <v>1939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1625</v>
      </c>
      <c r="G984" s="45" t="s">
        <v>1625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1681</v>
      </c>
      <c r="G985" s="45" t="s">
        <v>1681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1774</v>
      </c>
      <c r="G986" s="45" t="s">
        <v>1774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2072</v>
      </c>
      <c r="G987" s="45" t="s">
        <v>2072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1659</v>
      </c>
      <c r="G988" s="45" t="s">
        <v>1659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1783</v>
      </c>
      <c r="G989" s="45" t="s">
        <v>1783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1852</v>
      </c>
      <c r="G990" s="45" t="s">
        <v>1852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1630</v>
      </c>
      <c r="G991" s="45" t="s">
        <v>1630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1868</v>
      </c>
      <c r="G992" s="45" t="s">
        <v>1868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1657</v>
      </c>
      <c r="G993" s="45" t="s">
        <v>1657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1631</v>
      </c>
      <c r="G994" s="45" t="s">
        <v>1631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1823</v>
      </c>
      <c r="G995" s="45" t="s">
        <v>1823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1751</v>
      </c>
      <c r="G996" s="45" t="s">
        <v>1751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1910</v>
      </c>
      <c r="G997" s="45" t="s">
        <v>1910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1812</v>
      </c>
      <c r="G998" s="45" t="s">
        <v>1812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1991</v>
      </c>
      <c r="G999" s="45" t="s">
        <v>1991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1728</v>
      </c>
      <c r="G1000" s="45" t="s">
        <v>1728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2063</v>
      </c>
      <c r="G1001" s="45" t="s">
        <v>2063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1804</v>
      </c>
      <c r="G1002" s="45" t="s">
        <v>1804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1617</v>
      </c>
      <c r="G1003" s="45" t="s">
        <v>1617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1619</v>
      </c>
      <c r="G1004" s="45" t="s">
        <v>1619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1935</v>
      </c>
      <c r="G1005" s="45" t="s">
        <v>1935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2090</v>
      </c>
      <c r="G1006" s="45" t="s">
        <v>2090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1889</v>
      </c>
      <c r="G1007" s="45" t="s">
        <v>1889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1851</v>
      </c>
      <c r="G1008" s="45" t="s">
        <v>1851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1650</v>
      </c>
      <c r="G1009" s="45" t="s">
        <v>1650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1652</v>
      </c>
      <c r="G1010" s="45" t="s">
        <v>1652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1733</v>
      </c>
      <c r="G1011" s="45" t="s">
        <v>1733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1760</v>
      </c>
      <c r="G1012" s="45" t="s">
        <v>1760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2035</v>
      </c>
      <c r="G1013" s="45" t="s">
        <v>2035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1727</v>
      </c>
      <c r="G1014" s="45" t="s">
        <v>1727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1616</v>
      </c>
      <c r="G1015" s="45" t="s">
        <v>1616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1654</v>
      </c>
      <c r="G1016" s="45" t="s">
        <v>1654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1930</v>
      </c>
      <c r="G1017" s="45" t="s">
        <v>1930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1725</v>
      </c>
      <c r="G1018" s="45" t="s">
        <v>1725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1643</v>
      </c>
      <c r="G1019" s="45" t="s">
        <v>1643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2066</v>
      </c>
      <c r="G1020" s="45" t="s">
        <v>2066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1719</v>
      </c>
      <c r="G1021" s="45" t="s">
        <v>1719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1691</v>
      </c>
      <c r="G1022" s="45" t="s">
        <v>1691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1796</v>
      </c>
      <c r="G1023" s="45" t="s">
        <v>1796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1954</v>
      </c>
      <c r="G1024" s="45" t="s">
        <v>1954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2133</v>
      </c>
      <c r="G1025" s="45" t="s">
        <v>2133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1708</v>
      </c>
      <c r="G1026" s="45" t="s">
        <v>1708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2036</v>
      </c>
      <c r="G1027" s="45" t="s">
        <v>2036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1693</v>
      </c>
      <c r="G1028" s="45" t="s">
        <v>1693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1661</v>
      </c>
      <c r="G1029" s="45" t="s">
        <v>1661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1665</v>
      </c>
      <c r="G1030" s="45" t="s">
        <v>1665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1963</v>
      </c>
      <c r="G1031" s="45" t="s">
        <v>1963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1677</v>
      </c>
      <c r="G1032" s="45" t="s">
        <v>1677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1909</v>
      </c>
      <c r="G1033" s="45" t="s">
        <v>1909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2103</v>
      </c>
      <c r="G1034" s="45" t="s">
        <v>2103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2183</v>
      </c>
      <c r="G1035" s="45" t="s">
        <v>2183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1931</v>
      </c>
      <c r="G1036" s="45" t="s">
        <v>1931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2132</v>
      </c>
      <c r="G1037" s="45" t="s">
        <v>2132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1826</v>
      </c>
      <c r="G1038" s="45" t="s">
        <v>1826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2134</v>
      </c>
      <c r="G1039" s="45" t="s">
        <v>2134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2118</v>
      </c>
      <c r="G1040" s="45" t="s">
        <v>2118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1679</v>
      </c>
      <c r="G1041" s="45" t="s">
        <v>1679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1813</v>
      </c>
      <c r="G1042" s="45" t="s">
        <v>1813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1692</v>
      </c>
      <c r="G1043" s="45" t="s">
        <v>1692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1809</v>
      </c>
      <c r="G1044" s="45" t="s">
        <v>1809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1762</v>
      </c>
      <c r="G1045" s="45" t="s">
        <v>1762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2008</v>
      </c>
      <c r="G1046" s="45" t="s">
        <v>2008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2007</v>
      </c>
      <c r="G1047" s="45" t="s">
        <v>2007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2014</v>
      </c>
      <c r="G1048" s="45" t="s">
        <v>2014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2018</v>
      </c>
      <c r="G1049" s="45" t="s">
        <v>2018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2013</v>
      </c>
      <c r="G1050" s="45" t="s">
        <v>2013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2017</v>
      </c>
      <c r="G1051" s="45" t="s">
        <v>2017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2012</v>
      </c>
      <c r="G1052" s="45" t="s">
        <v>2012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2016</v>
      </c>
      <c r="G1053" s="45" t="s">
        <v>2016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2119</v>
      </c>
      <c r="G1054" s="45" t="s">
        <v>2119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1821</v>
      </c>
      <c r="G1055" s="45" t="s">
        <v>1821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2106</v>
      </c>
      <c r="G1056" s="45" t="s">
        <v>2106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1861</v>
      </c>
      <c r="G1057" s="45" t="s">
        <v>1861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1977</v>
      </c>
      <c r="G1058" s="45" t="s">
        <v>1977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2058</v>
      </c>
      <c r="G1059" s="45" t="s">
        <v>2058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1948</v>
      </c>
      <c r="G1060" s="45" t="s">
        <v>1948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2038</v>
      </c>
      <c r="G1061" s="45" t="s">
        <v>2038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1828</v>
      </c>
      <c r="G1062" s="45" t="s">
        <v>1828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2113</v>
      </c>
      <c r="G1063" s="45" t="s">
        <v>2113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1975</v>
      </c>
      <c r="G1064" s="45" t="s">
        <v>1975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1920</v>
      </c>
      <c r="G1065" s="45" t="s">
        <v>1920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1726</v>
      </c>
      <c r="G1066" s="45" t="s">
        <v>1726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1833</v>
      </c>
      <c r="G1067" s="45" t="s">
        <v>1833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2000</v>
      </c>
      <c r="G1068" s="45" t="s">
        <v>2000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2006</v>
      </c>
      <c r="G1069" s="45" t="s">
        <v>2006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1874</v>
      </c>
      <c r="G1070" s="45" t="s">
        <v>1874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1781</v>
      </c>
      <c r="G1071" s="45" t="s">
        <v>1781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1952</v>
      </c>
      <c r="G1072" s="45" t="s">
        <v>1952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1919</v>
      </c>
      <c r="G1073" s="45" t="s">
        <v>1919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1694</v>
      </c>
      <c r="G1074" s="45" t="s">
        <v>1694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1764</v>
      </c>
      <c r="G1075" s="45" t="s">
        <v>1764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1914</v>
      </c>
      <c r="G1076" s="45" t="s">
        <v>1914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1714</v>
      </c>
      <c r="G1077" s="45" t="s">
        <v>1714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2003</v>
      </c>
      <c r="G1078" s="45" t="s">
        <v>2003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1903</v>
      </c>
      <c r="G1079" s="45" t="s">
        <v>1903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2059</v>
      </c>
      <c r="G1080" s="45" t="s">
        <v>2059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1933</v>
      </c>
      <c r="G1081" s="45" t="s">
        <v>1933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1685</v>
      </c>
      <c r="G1082" s="45" t="s">
        <v>1685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1639</v>
      </c>
      <c r="G1083" s="45" t="s">
        <v>1639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1675</v>
      </c>
      <c r="G1084" s="45" t="s">
        <v>1675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1740</v>
      </c>
      <c r="G1085" s="45" t="s">
        <v>1740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1740</v>
      </c>
      <c r="G1086" s="45" t="s">
        <v>1740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1960</v>
      </c>
      <c r="G1087" s="45" t="s">
        <v>1960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1747</v>
      </c>
      <c r="G1088" s="45" t="s">
        <v>1747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2100</v>
      </c>
      <c r="G1089" s="45" t="s">
        <v>2100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1967</v>
      </c>
      <c r="G1090" s="45" t="s">
        <v>1967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2093</v>
      </c>
      <c r="G1091" s="45" t="s">
        <v>2093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1662</v>
      </c>
      <c r="G1092" s="45" t="s">
        <v>1662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1651</v>
      </c>
      <c r="G1093" s="45" t="s">
        <v>1651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1655</v>
      </c>
      <c r="G1094" s="45" t="s">
        <v>1655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1663</v>
      </c>
      <c r="G1095" s="45" t="s">
        <v>1663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1949</v>
      </c>
      <c r="G1096" s="45" t="s">
        <v>1949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1956</v>
      </c>
      <c r="G1097" s="45" t="s">
        <v>1956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1934</v>
      </c>
      <c r="G1098" s="45" t="s">
        <v>1934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1635</v>
      </c>
      <c r="G1099" s="45" t="s">
        <v>1635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1753</v>
      </c>
      <c r="G1100" s="45" t="s">
        <v>1753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1947</v>
      </c>
      <c r="G1101" s="45" t="s">
        <v>1947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1767</v>
      </c>
      <c r="G1102" s="45" t="s">
        <v>1767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1713</v>
      </c>
      <c r="G1103" s="45" t="s">
        <v>1713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1658</v>
      </c>
      <c r="G1104" s="45" t="s">
        <v>1658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1822</v>
      </c>
      <c r="G1105" s="45" t="s">
        <v>1822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1938</v>
      </c>
      <c r="G1106" s="45" t="s">
        <v>1938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1780</v>
      </c>
      <c r="G1107" s="45" t="s">
        <v>1780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1877</v>
      </c>
      <c r="G1108" s="45" t="s">
        <v>1877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2030</v>
      </c>
      <c r="G1109" s="45" t="s">
        <v>2030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1846</v>
      </c>
      <c r="G1110" s="45" t="s">
        <v>1846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2064</v>
      </c>
      <c r="G1111" s="45" t="s">
        <v>2064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1941</v>
      </c>
      <c r="G1112" s="45" t="s">
        <v>1941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2080</v>
      </c>
      <c r="G1113" s="45" t="s">
        <v>2080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2051</v>
      </c>
      <c r="G1114" s="45" t="s">
        <v>2051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2041</v>
      </c>
      <c r="G1115" s="45" t="s">
        <v>2041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2031</v>
      </c>
      <c r="G1116" s="45" t="s">
        <v>2031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1943</v>
      </c>
      <c r="G1117" s="45" t="s">
        <v>1943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2135</v>
      </c>
      <c r="G1118" s="45" t="s">
        <v>2135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1898</v>
      </c>
      <c r="G1119" s="45" t="s">
        <v>1898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1754</v>
      </c>
      <c r="G1120" s="45" t="s">
        <v>1754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1720</v>
      </c>
      <c r="G1121" s="45" t="s">
        <v>1720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1697</v>
      </c>
      <c r="G1122" s="45" t="s">
        <v>1697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1891</v>
      </c>
      <c r="G1123" s="45" t="s">
        <v>1891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1759</v>
      </c>
      <c r="G1124" s="45" t="s">
        <v>1759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1620</v>
      </c>
      <c r="G1125" s="45" t="s">
        <v>1620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1707</v>
      </c>
      <c r="G1126" s="45" t="s">
        <v>1707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2056</v>
      </c>
      <c r="G1127" s="45" t="s">
        <v>2056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2027</v>
      </c>
      <c r="G1128" s="45" t="s">
        <v>2027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2114</v>
      </c>
      <c r="G1129" s="45" t="s">
        <v>2114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1766</v>
      </c>
      <c r="G1130" s="45" t="s">
        <v>1766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2060</v>
      </c>
      <c r="G1131" s="45" t="s">
        <v>2060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2046</v>
      </c>
      <c r="G1132" s="45" t="s">
        <v>2046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1794</v>
      </c>
      <c r="G1133" s="45" t="s">
        <v>1794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1978</v>
      </c>
      <c r="G1134" s="45" t="s">
        <v>1978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1981</v>
      </c>
      <c r="G1135" s="45" t="s">
        <v>1981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1982</v>
      </c>
      <c r="G1136" s="45" t="s">
        <v>1982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1986</v>
      </c>
      <c r="G1137" s="45" t="s">
        <v>1986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1983</v>
      </c>
      <c r="G1138" s="45" t="s">
        <v>1983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1979</v>
      </c>
      <c r="G1139" s="45" t="s">
        <v>1979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1984</v>
      </c>
      <c r="G1140" s="45" t="s">
        <v>1984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1985</v>
      </c>
      <c r="G1141" s="45" t="s">
        <v>1985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1980</v>
      </c>
      <c r="G1142" s="45" t="s">
        <v>1980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1995</v>
      </c>
      <c r="G1143" s="45" t="s">
        <v>1995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1824</v>
      </c>
      <c r="G1144" s="45" t="s">
        <v>1824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1684</v>
      </c>
      <c r="G1145" s="45" t="s">
        <v>1684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1797</v>
      </c>
      <c r="G1146" s="45" t="s">
        <v>1797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2101</v>
      </c>
      <c r="G1147" s="45" t="s">
        <v>2101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1921</v>
      </c>
      <c r="G1148" s="45" t="s">
        <v>1921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1706</v>
      </c>
      <c r="G1149" s="45" t="s">
        <v>1706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1869</v>
      </c>
      <c r="G1150" s="45" t="s">
        <v>1869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2077</v>
      </c>
      <c r="G1151" s="45" t="s">
        <v>2077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2010</v>
      </c>
      <c r="G1152" s="45" t="s">
        <v>2010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2011</v>
      </c>
      <c r="G1153" s="45" t="s">
        <v>2011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1743</v>
      </c>
      <c r="G1154" s="45" t="s">
        <v>1743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1779</v>
      </c>
      <c r="G1155" s="45" t="s">
        <v>1779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1721</v>
      </c>
      <c r="G1156" s="45" t="s">
        <v>1721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2125</v>
      </c>
      <c r="G1157" s="45" t="s">
        <v>2125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2129</v>
      </c>
      <c r="G1158" s="45" t="s">
        <v>2129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2039</v>
      </c>
      <c r="G1159" s="45" t="s">
        <v>2039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1970</v>
      </c>
      <c r="G1160" s="45" t="s">
        <v>1970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2019</v>
      </c>
      <c r="G1161" s="45" t="s">
        <v>2019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1775</v>
      </c>
      <c r="G1162" s="45" t="s">
        <v>1775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1958</v>
      </c>
      <c r="G1163" s="45" t="s">
        <v>1958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2044</v>
      </c>
      <c r="G1164" s="45" t="s">
        <v>2044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1940</v>
      </c>
      <c r="G1165" s="45" t="s">
        <v>1940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1944</v>
      </c>
      <c r="G1166" s="45" t="s">
        <v>1944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2040</v>
      </c>
      <c r="G1167" s="45" t="s">
        <v>2040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2089</v>
      </c>
      <c r="G1168" s="45" t="s">
        <v>2089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1973</v>
      </c>
      <c r="G1169" s="45" t="s">
        <v>1973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1892</v>
      </c>
      <c r="G1170" s="45" t="s">
        <v>1892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1632</v>
      </c>
      <c r="G1171" s="45" t="s">
        <v>1632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1842</v>
      </c>
      <c r="G1172" s="45" t="s">
        <v>1842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1899</v>
      </c>
      <c r="G1173" s="45" t="s">
        <v>1899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1731</v>
      </c>
      <c r="G1174" s="45" t="s">
        <v>1731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1924</v>
      </c>
      <c r="G1175" s="45" t="s">
        <v>1924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1627</v>
      </c>
      <c r="G1176" s="45" t="s">
        <v>1627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1803</v>
      </c>
      <c r="G1177" s="45" t="s">
        <v>1803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1773</v>
      </c>
      <c r="G1178" s="45" t="s">
        <v>1773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1902</v>
      </c>
      <c r="G1179" s="45" t="s">
        <v>1902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1937</v>
      </c>
      <c r="G1180" s="45" t="s">
        <v>1937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1936</v>
      </c>
      <c r="G1181" s="45" t="s">
        <v>1936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2029</v>
      </c>
      <c r="G1182" s="45" t="s">
        <v>2029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1618</v>
      </c>
      <c r="G1183" s="45" t="s">
        <v>1618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1624</v>
      </c>
      <c r="G1184" s="45" t="s">
        <v>1624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1648</v>
      </c>
      <c r="G1185" s="45" t="s">
        <v>1648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1644</v>
      </c>
      <c r="G1186" s="45" t="s">
        <v>1644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1644</v>
      </c>
      <c r="G1187" s="45" t="s">
        <v>1644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1863</v>
      </c>
      <c r="G1188" s="45" t="s">
        <v>1863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1858</v>
      </c>
      <c r="G1189" s="45" t="s">
        <v>1858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1777</v>
      </c>
      <c r="G1190" s="45" t="s">
        <v>1777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2032</v>
      </c>
      <c r="G1191" s="45" t="s">
        <v>2032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1901</v>
      </c>
      <c r="G1192" s="45" t="s">
        <v>1901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2043</v>
      </c>
      <c r="G1193" s="45" t="s">
        <v>2043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2088</v>
      </c>
      <c r="G1194" s="45" t="s">
        <v>2088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1687</v>
      </c>
      <c r="G1195" s="45" t="s">
        <v>1687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1687</v>
      </c>
      <c r="G1196" s="45" t="s">
        <v>1687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1640</v>
      </c>
      <c r="G1197" s="45" t="s">
        <v>1640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1904</v>
      </c>
      <c r="G1198" s="45" t="s">
        <v>1904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1705</v>
      </c>
      <c r="G1199" s="45" t="s">
        <v>1705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1906</v>
      </c>
      <c r="G1200" s="45" t="s">
        <v>1906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1698</v>
      </c>
      <c r="G1201" s="45" t="s">
        <v>1698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1722</v>
      </c>
      <c r="G1202" s="45" t="s">
        <v>1722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1829</v>
      </c>
      <c r="G1203" s="45" t="s">
        <v>1829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1968</v>
      </c>
      <c r="G1204" s="45" t="s">
        <v>1968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1749</v>
      </c>
      <c r="G1205" s="45" t="s">
        <v>1749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1845</v>
      </c>
      <c r="G1206" s="45" t="s">
        <v>1845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1795</v>
      </c>
      <c r="G1207" s="45" t="s">
        <v>1795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2105</v>
      </c>
      <c r="G1208" s="45" t="s">
        <v>2105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2002</v>
      </c>
      <c r="G1209" s="45" t="s">
        <v>2002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2049</v>
      </c>
      <c r="G1210" s="45" t="s">
        <v>2049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2253</v>
      </c>
      <c r="G1211" s="45" t="s">
        <v>2253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2107</v>
      </c>
      <c r="G1212" s="45" t="s">
        <v>2107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1841</v>
      </c>
      <c r="G1213" s="45" t="s">
        <v>1841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1806</v>
      </c>
      <c r="G1214" s="45" t="s">
        <v>1806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1653</v>
      </c>
      <c r="G1215" s="45" t="s">
        <v>1653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1744</v>
      </c>
      <c r="G1216" s="45" t="s">
        <v>1744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2084</v>
      </c>
      <c r="G1217" s="45" t="s">
        <v>2084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1709</v>
      </c>
      <c r="G1218" s="45" t="s">
        <v>1709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1950</v>
      </c>
      <c r="G1219" s="45" t="s">
        <v>1950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1636</v>
      </c>
      <c r="G1220" s="45" t="s">
        <v>1636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1776</v>
      </c>
      <c r="G1221" s="45" t="s">
        <v>1776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1879</v>
      </c>
      <c r="G1222" s="45" t="s">
        <v>1879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1884</v>
      </c>
      <c r="G1223" s="45" t="s">
        <v>1884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1807</v>
      </c>
      <c r="G1224" s="45" t="s">
        <v>1807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1849</v>
      </c>
      <c r="G1225" s="45" t="s">
        <v>1849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1793</v>
      </c>
      <c r="G1226" s="45" t="s">
        <v>1793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1912</v>
      </c>
      <c r="G1227" s="45" t="s">
        <v>1912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2112</v>
      </c>
      <c r="G1228" s="45" t="s">
        <v>2112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1792</v>
      </c>
      <c r="G1229" s="45" t="s">
        <v>1792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1792</v>
      </c>
      <c r="G1230" s="45" t="s">
        <v>1792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1878</v>
      </c>
      <c r="G1231" s="45" t="s">
        <v>1878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1830</v>
      </c>
      <c r="G1232" s="45" t="s">
        <v>1830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1718</v>
      </c>
      <c r="G1233" s="45" t="s">
        <v>1718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2087</v>
      </c>
      <c r="G1234" s="45" t="s">
        <v>2087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1913</v>
      </c>
      <c r="G1235" s="45" t="s">
        <v>1913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2065</v>
      </c>
      <c r="G1236" s="45" t="s">
        <v>2065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1836</v>
      </c>
      <c r="G1237" s="45" t="s">
        <v>1836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1999</v>
      </c>
      <c r="G1238" s="45" t="s">
        <v>1999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1757</v>
      </c>
      <c r="G1239" s="45" t="s">
        <v>1757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1716</v>
      </c>
      <c r="G1240" s="45" t="s">
        <v>1716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1853</v>
      </c>
      <c r="G1241" s="45" t="s">
        <v>1853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2094</v>
      </c>
      <c r="G1242" s="45" t="s">
        <v>2094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1678</v>
      </c>
      <c r="G1243" s="45" t="s">
        <v>1678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1682</v>
      </c>
      <c r="G1244" s="45" t="s">
        <v>1682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1680</v>
      </c>
      <c r="G1245" s="45" t="s">
        <v>1680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1748</v>
      </c>
      <c r="G1246" s="45" t="s">
        <v>1748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1862</v>
      </c>
      <c r="G1247" s="45" t="s">
        <v>1862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1736</v>
      </c>
      <c r="G1248" s="45" t="s">
        <v>1736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1883</v>
      </c>
      <c r="G1249" s="45" t="s">
        <v>1883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1805</v>
      </c>
      <c r="G1250" s="45" t="s">
        <v>1805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1872</v>
      </c>
      <c r="G1251" s="45" t="s">
        <v>1872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1763</v>
      </c>
      <c r="G1252" s="45" t="s">
        <v>1763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1770</v>
      </c>
      <c r="G1253" s="45" t="s">
        <v>1770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2102</v>
      </c>
      <c r="G1254" s="45" t="s">
        <v>2102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2022</v>
      </c>
      <c r="G1255" s="45" t="s">
        <v>2022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1907</v>
      </c>
      <c r="G1256" s="45" t="s">
        <v>1907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2121</v>
      </c>
      <c r="G1257" s="45" t="s">
        <v>2121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1972</v>
      </c>
      <c r="G1258" s="45" t="s">
        <v>1972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1988</v>
      </c>
      <c r="G1259" s="45" t="s">
        <v>1988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1997</v>
      </c>
      <c r="G1260" s="45" t="s">
        <v>1997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1987</v>
      </c>
      <c r="G1261" s="45" t="s">
        <v>1987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1996</v>
      </c>
      <c r="G1262" s="45" t="s">
        <v>1996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1993</v>
      </c>
      <c r="G1263" s="45" t="s">
        <v>1993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1990</v>
      </c>
      <c r="G1264" s="45" t="s">
        <v>1990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1976</v>
      </c>
      <c r="G1265" s="45" t="s">
        <v>1976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1808</v>
      </c>
      <c r="G1266" s="45" t="s">
        <v>1808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1646</v>
      </c>
      <c r="G1267" s="45" t="s">
        <v>1646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1765</v>
      </c>
      <c r="G1268" s="45" t="s">
        <v>1765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1900</v>
      </c>
      <c r="G1269" s="45" t="s">
        <v>1900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1799</v>
      </c>
      <c r="G1270" s="45" t="s">
        <v>1799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1848</v>
      </c>
      <c r="G1271" s="45" t="s">
        <v>1848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1782</v>
      </c>
      <c r="G1272" s="45" t="s">
        <v>1782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2023</v>
      </c>
      <c r="G1273" s="45" t="s">
        <v>2023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1641</v>
      </c>
      <c r="G1274" s="45" t="s">
        <v>1641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1699</v>
      </c>
      <c r="G1275" s="45" t="s">
        <v>1699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2130</v>
      </c>
      <c r="G1276" s="45" t="s">
        <v>2130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1758</v>
      </c>
      <c r="G1277" s="45" t="s">
        <v>1758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1702</v>
      </c>
      <c r="G1278" s="45" t="s">
        <v>1702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2033</v>
      </c>
      <c r="G1279" s="45" t="s">
        <v>2033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1704</v>
      </c>
      <c r="G1280" s="45" t="s">
        <v>1704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1918</v>
      </c>
      <c r="G1281" s="45" t="s">
        <v>1918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1834</v>
      </c>
      <c r="G1282" s="45" t="s">
        <v>1834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2024</v>
      </c>
      <c r="G1283" s="45" t="s">
        <v>2024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2025</v>
      </c>
      <c r="G1284" s="45" t="s">
        <v>2025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1932</v>
      </c>
      <c r="G1285" s="45" t="s">
        <v>1932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1855</v>
      </c>
      <c r="G1286" s="45" t="s">
        <v>1855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2131</v>
      </c>
      <c r="G1287" s="45" t="s">
        <v>2131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1711</v>
      </c>
      <c r="G1288" s="45" t="s">
        <v>1711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2096</v>
      </c>
      <c r="G1289" s="45" t="s">
        <v>2096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1857</v>
      </c>
      <c r="G1290" s="45" t="s">
        <v>1857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1647</v>
      </c>
      <c r="G1291" s="45" t="s">
        <v>1647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1788</v>
      </c>
      <c r="G1292" s="45" t="s">
        <v>1788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1622</v>
      </c>
      <c r="G1293" s="45" t="s">
        <v>1622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2256</v>
      </c>
      <c r="G1294" s="45" t="s">
        <v>2256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1856</v>
      </c>
      <c r="G1295" s="45" t="s">
        <v>1856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1814</v>
      </c>
      <c r="G1296" s="45" t="s">
        <v>1814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1850</v>
      </c>
      <c r="G1297" s="45" t="s">
        <v>1850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1778</v>
      </c>
      <c r="G1298" s="45" t="s">
        <v>1778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1645</v>
      </c>
      <c r="G1299" s="45" t="s">
        <v>1645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1820</v>
      </c>
      <c r="G1300" s="45" t="s">
        <v>1820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1637</v>
      </c>
      <c r="G1301" s="45" t="s">
        <v>1637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2120</v>
      </c>
      <c r="G1302" s="45" t="s">
        <v>2120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1772</v>
      </c>
      <c r="G1303" s="45" t="s">
        <v>1772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1965</v>
      </c>
      <c r="G1304" s="45" t="s">
        <v>1965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1816</v>
      </c>
      <c r="G1305" s="45" t="s">
        <v>1816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1737</v>
      </c>
      <c r="G1306" s="45" t="s">
        <v>1737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1741</v>
      </c>
      <c r="G1307" s="45" t="s">
        <v>1741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2069</v>
      </c>
      <c r="G1308" s="45" t="s">
        <v>2069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1785</v>
      </c>
      <c r="G1309" s="45" t="s">
        <v>1785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2082</v>
      </c>
      <c r="G1310" s="45" t="s">
        <v>2082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2104</v>
      </c>
      <c r="G1311" s="45" t="s">
        <v>2104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1791</v>
      </c>
      <c r="G1312" s="45" t="s">
        <v>1791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1717</v>
      </c>
      <c r="G1313" s="45" t="s">
        <v>1717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1871</v>
      </c>
      <c r="G1314" s="45" t="s">
        <v>1871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1992</v>
      </c>
      <c r="G1315" s="45" t="s">
        <v>1992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2020</v>
      </c>
      <c r="G1316" s="45" t="s">
        <v>2020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1880</v>
      </c>
      <c r="G1317" s="45" t="s">
        <v>1880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1746</v>
      </c>
      <c r="G1318" s="45" t="s">
        <v>1746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1839</v>
      </c>
      <c r="G1319" s="45" t="s">
        <v>1839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1837</v>
      </c>
      <c r="G1320" s="45" t="s">
        <v>1837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1994</v>
      </c>
      <c r="G1321" s="45" t="s">
        <v>1994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1969</v>
      </c>
      <c r="G1322" s="45" t="s">
        <v>1969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2078</v>
      </c>
      <c r="G1323" s="45" t="s">
        <v>2078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2083</v>
      </c>
      <c r="G1324" s="45" t="s">
        <v>2083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1854</v>
      </c>
      <c r="G1325" s="45" t="s">
        <v>1854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2074</v>
      </c>
      <c r="G1326" s="45" t="s">
        <v>2074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1922</v>
      </c>
      <c r="G1327" s="45" t="s">
        <v>1922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1787</v>
      </c>
      <c r="G1328" s="45" t="s">
        <v>1787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1735</v>
      </c>
      <c r="G1329" s="45" t="s">
        <v>1735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1633</v>
      </c>
      <c r="G1330" s="45" t="s">
        <v>1633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1818</v>
      </c>
      <c r="G1331" s="45" t="s">
        <v>1818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2075</v>
      </c>
      <c r="G1332" s="45" t="s">
        <v>2075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2095</v>
      </c>
      <c r="G1333" s="45" t="s">
        <v>2095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2034</v>
      </c>
      <c r="G1334" s="45" t="s">
        <v>2034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1742</v>
      </c>
      <c r="G1335" s="45" t="s">
        <v>1742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1742</v>
      </c>
      <c r="G1336" s="45" t="s">
        <v>1742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2079</v>
      </c>
      <c r="G1337" s="45" t="s">
        <v>2079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1885</v>
      </c>
      <c r="G1338" s="45" t="s">
        <v>1885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1876</v>
      </c>
      <c r="G1339" s="45" t="s">
        <v>1876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1769</v>
      </c>
      <c r="G1340" s="45" t="s">
        <v>1769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1926</v>
      </c>
      <c r="G1341" s="45" t="s">
        <v>1926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2086</v>
      </c>
      <c r="G1342" s="45" t="s">
        <v>2086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1634</v>
      </c>
      <c r="G1343" s="45" t="s">
        <v>1634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1817</v>
      </c>
      <c r="G1344" s="45" t="s">
        <v>1817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1768</v>
      </c>
      <c r="G1345" s="45" t="s">
        <v>1768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1789</v>
      </c>
      <c r="G1346" s="45" t="s">
        <v>1789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2122</v>
      </c>
      <c r="G1347" s="45" t="s">
        <v>2122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1893</v>
      </c>
      <c r="G1348" s="45" t="s">
        <v>1893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2091</v>
      </c>
      <c r="G1349" s="45" t="s">
        <v>2091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1832</v>
      </c>
      <c r="G1350" s="45" t="s">
        <v>1832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1923</v>
      </c>
      <c r="G1351" s="45" t="s">
        <v>1923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1881</v>
      </c>
      <c r="G1352" s="45" t="s">
        <v>1881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1886</v>
      </c>
      <c r="G1353" s="45" t="s">
        <v>1886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1847</v>
      </c>
      <c r="G1354" s="45" t="s">
        <v>1847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1945</v>
      </c>
      <c r="G1355" s="45" t="s">
        <v>1945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2028</v>
      </c>
      <c r="G1356" s="45" t="s">
        <v>2028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1925</v>
      </c>
      <c r="G1357" s="45" t="s">
        <v>1925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1928</v>
      </c>
      <c r="G1358" s="45" t="s">
        <v>1928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1844</v>
      </c>
      <c r="G1359" s="45" t="s">
        <v>1844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1656</v>
      </c>
      <c r="G1360" s="45" t="s">
        <v>1656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1667</v>
      </c>
      <c r="G1361" s="45" t="s">
        <v>1667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1668</v>
      </c>
      <c r="G1362" s="45" t="s">
        <v>1668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1664</v>
      </c>
      <c r="G1363" s="45" t="s">
        <v>1664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1860</v>
      </c>
      <c r="G1364" s="45" t="s">
        <v>1860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1642</v>
      </c>
      <c r="G1365" s="45" t="s">
        <v>1642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1739</v>
      </c>
      <c r="G1366" s="45" t="s">
        <v>1739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1676</v>
      </c>
      <c r="G1367" s="45" t="s">
        <v>1676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1786</v>
      </c>
      <c r="G1368" s="45" t="s">
        <v>1786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2116</v>
      </c>
      <c r="G1369" s="45" t="s">
        <v>2116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2126</v>
      </c>
      <c r="G1370" s="45" t="s">
        <v>2126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1961</v>
      </c>
      <c r="G1371" s="45" t="s">
        <v>1961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2128</v>
      </c>
      <c r="G1372" s="45" t="s">
        <v>2128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1628</v>
      </c>
      <c r="G1373" s="45" t="s">
        <v>1628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2026</v>
      </c>
      <c r="G1374" s="45" t="s">
        <v>2026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2042</v>
      </c>
      <c r="G1375" s="45" t="s">
        <v>2042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1905</v>
      </c>
      <c r="G1376" s="45" t="s">
        <v>1905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2081</v>
      </c>
      <c r="G1377" s="45" t="s">
        <v>2081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1649</v>
      </c>
      <c r="G1378" s="45" t="s">
        <v>1649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1888</v>
      </c>
      <c r="G1379" s="45" t="s">
        <v>1888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1815</v>
      </c>
      <c r="G1380" s="45" t="s">
        <v>1815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1843</v>
      </c>
      <c r="G1381" s="45" t="s">
        <v>1843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1752</v>
      </c>
      <c r="G1382" s="45" t="s">
        <v>1752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2071</v>
      </c>
      <c r="G1383" s="45" t="s">
        <v>2071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2097</v>
      </c>
      <c r="G1384" s="45" t="s">
        <v>2097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1683</v>
      </c>
      <c r="G1385" s="45" t="s">
        <v>1683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1946</v>
      </c>
      <c r="G1386" s="45" t="s">
        <v>1946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1690</v>
      </c>
      <c r="G1387" s="45" t="s">
        <v>1690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1732</v>
      </c>
      <c r="G1388" s="45" t="s">
        <v>1732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1798</v>
      </c>
      <c r="G1389" s="45" t="s">
        <v>1798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1801</v>
      </c>
      <c r="G1390" s="45" t="s">
        <v>1801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1802</v>
      </c>
      <c r="G1391" s="45" t="s">
        <v>1802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1800</v>
      </c>
      <c r="G1392" s="45" t="s">
        <v>1800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1840</v>
      </c>
      <c r="G1393" s="45" t="s">
        <v>1840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1626</v>
      </c>
      <c r="G1394" s="45" t="s">
        <v>1626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1864</v>
      </c>
      <c r="G1395" s="45" t="s">
        <v>1864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1629</v>
      </c>
      <c r="G1396" s="45" t="s">
        <v>1629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1666</v>
      </c>
      <c r="G1397" s="45" t="s">
        <v>1666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1942</v>
      </c>
      <c r="G1398" s="45" t="s">
        <v>1942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1621</v>
      </c>
      <c r="G1399" s="45" t="s">
        <v>1621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1745</v>
      </c>
      <c r="G1400" s="45" t="s">
        <v>1745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2117</v>
      </c>
      <c r="G1401" s="45" t="s">
        <v>2117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1790</v>
      </c>
      <c r="G1402" s="45" t="s">
        <v>1790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2099</v>
      </c>
      <c r="G1403" s="45" t="s">
        <v>2099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1638</v>
      </c>
      <c r="G1404" s="45" t="s">
        <v>1638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2070</v>
      </c>
      <c r="G1405" s="45" t="s">
        <v>2070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1700</v>
      </c>
      <c r="G1406" s="45" t="s">
        <v>1700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1771</v>
      </c>
      <c r="G1407" s="45" t="s">
        <v>1771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2109</v>
      </c>
      <c r="G1408" s="45" t="s">
        <v>2109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1882</v>
      </c>
      <c r="G1409" s="45" t="s">
        <v>1882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1724</v>
      </c>
      <c r="G1410" s="45" t="s">
        <v>1724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1916</v>
      </c>
      <c r="G1411" s="45" t="s">
        <v>1916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1688</v>
      </c>
      <c r="G1412" s="45" t="s">
        <v>1688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2009</v>
      </c>
      <c r="G1413" s="45" t="s">
        <v>2009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1669</v>
      </c>
      <c r="G1414" s="45" t="s">
        <v>1669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1670</v>
      </c>
      <c r="G1415" s="45" t="s">
        <v>1670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1671</v>
      </c>
      <c r="G1416" s="45" t="s">
        <v>1671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1673</v>
      </c>
      <c r="G1417" s="45" t="s">
        <v>1673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1672</v>
      </c>
      <c r="G1418" s="45" t="s">
        <v>1672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1674</v>
      </c>
      <c r="G1419" s="45" t="s">
        <v>1674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1875</v>
      </c>
      <c r="G1420" s="45" t="s">
        <v>1875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2092</v>
      </c>
      <c r="G1421" s="45" t="s">
        <v>2092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1870</v>
      </c>
      <c r="G1422" s="45" t="s">
        <v>1870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1959</v>
      </c>
      <c r="G1423" s="45" t="s">
        <v>1959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1917</v>
      </c>
      <c r="G1424" s="45" t="s">
        <v>1917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1756</v>
      </c>
      <c r="G1425" s="45" t="s">
        <v>1756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2124</v>
      </c>
      <c r="G1426" s="45" t="s">
        <v>2124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1696</v>
      </c>
      <c r="G1427" s="45" t="s">
        <v>1696</v>
      </c>
      <c r="H1427" s="6"/>
    </row>
    <row r="1428" spans="1:10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2498</v>
      </c>
      <c r="G1428" s="45" t="s">
        <v>2498</v>
      </c>
      <c r="H1428" s="6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26" t="str">
        <f>VLOOKUP(A1429,Meta.Features!$A:$K,$E$1,FALSE)</f>
        <v>Nominal</v>
      </c>
      <c r="F1429" s="3" t="s">
        <v>842</v>
      </c>
      <c r="G1429" s="3" t="s">
        <v>842</v>
      </c>
      <c r="H1429" s="1" t="s">
        <v>843</v>
      </c>
      <c r="I1429" s="1" t="s">
        <v>843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26" t="str">
        <f>VLOOKUP(A1430,Meta.Features!$A:$K,$E$1,FALSE)</f>
        <v>Nominal</v>
      </c>
      <c r="F1430" s="3" t="s">
        <v>844</v>
      </c>
      <c r="G1430" s="3" t="s">
        <v>844</v>
      </c>
      <c r="H1430" s="1" t="s">
        <v>845</v>
      </c>
      <c r="I1430" s="1" t="s">
        <v>845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26" t="str">
        <f>VLOOKUP(A1431,Meta.Features!$A:$K,$E$1,FALSE)</f>
        <v>Nominal</v>
      </c>
      <c r="F1431" s="3" t="s">
        <v>846</v>
      </c>
      <c r="G1431" s="3" t="s">
        <v>846</v>
      </c>
      <c r="H1431" s="1" t="s">
        <v>847</v>
      </c>
      <c r="I1431" s="1" t="s">
        <v>847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26" t="str">
        <f>VLOOKUP(A1432,Meta.Features!$A:$K,$E$1,FALSE)</f>
        <v>Nominal</v>
      </c>
      <c r="F1432" s="3" t="s">
        <v>848</v>
      </c>
      <c r="G1432" s="3" t="s">
        <v>848</v>
      </c>
      <c r="H1432" s="1" t="s">
        <v>849</v>
      </c>
      <c r="I1432" s="1" t="s">
        <v>849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26" t="str">
        <f>VLOOKUP(A1433,Meta.Features!$A:$K,$E$1,FALSE)</f>
        <v>Nominal</v>
      </c>
      <c r="F1433" s="3" t="s">
        <v>850</v>
      </c>
      <c r="G1433" s="3" t="s">
        <v>850</v>
      </c>
      <c r="H1433" s="1" t="s">
        <v>851</v>
      </c>
      <c r="I1433" s="1" t="s">
        <v>851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26" t="str">
        <f>VLOOKUP(A1434,Meta.Features!$A:$K,$E$1,FALSE)</f>
        <v>Nominal</v>
      </c>
      <c r="F1434" s="3" t="s">
        <v>852</v>
      </c>
      <c r="G1434" s="3" t="s">
        <v>852</v>
      </c>
      <c r="H1434" s="1" t="s">
        <v>853</v>
      </c>
      <c r="I1434" s="1" t="s">
        <v>853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26" t="str">
        <f>VLOOKUP(A1435,Meta.Features!$A:$K,$E$1,FALSE)</f>
        <v>Nominal</v>
      </c>
      <c r="F1435" s="3" t="s">
        <v>854</v>
      </c>
      <c r="G1435" s="3" t="s">
        <v>854</v>
      </c>
      <c r="H1435" s="1" t="s">
        <v>855</v>
      </c>
      <c r="I1435" s="1" t="s">
        <v>855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26" t="str">
        <f>VLOOKUP(A1436,Meta.Features!$A:$K,$E$1,FALSE)</f>
        <v>Nominal</v>
      </c>
      <c r="F1436" s="3" t="s">
        <v>825</v>
      </c>
      <c r="G1436" s="3" t="s">
        <v>825</v>
      </c>
      <c r="H1436" s="1" t="s">
        <v>580</v>
      </c>
      <c r="I1436" s="1" t="s">
        <v>580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26" t="str">
        <f>VLOOKUP(A1437,Meta.Features!$A:$K,$E$1,FALSE)</f>
        <v>Nominal</v>
      </c>
      <c r="F1437" s="3" t="s">
        <v>585</v>
      </c>
      <c r="G1437" s="3" t="s">
        <v>585</v>
      </c>
      <c r="H1437" s="1" t="s">
        <v>856</v>
      </c>
      <c r="I1437" s="1" t="s">
        <v>856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26" t="str">
        <f>VLOOKUP(A1438,Meta.Features!$A:$K,$E$1,FALSE)</f>
        <v>Nominal</v>
      </c>
      <c r="F1438" s="3" t="s">
        <v>857</v>
      </c>
      <c r="G1438" s="3" t="s">
        <v>857</v>
      </c>
      <c r="H1438" s="1" t="s">
        <v>858</v>
      </c>
      <c r="I1438" s="1" t="s">
        <v>858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26" t="str">
        <f>VLOOKUP(A1439,Meta.Features!$A:$K,$E$1,FALSE)</f>
        <v>Nominal</v>
      </c>
      <c r="F1439" s="3" t="s">
        <v>859</v>
      </c>
      <c r="G1439" s="3" t="s">
        <v>859</v>
      </c>
      <c r="H1439" s="1" t="s">
        <v>860</v>
      </c>
      <c r="I1439" s="1" t="s">
        <v>860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26" t="str">
        <f>VLOOKUP(A1440,Meta.Features!$A:$K,$E$1,FALSE)</f>
        <v>Nominal</v>
      </c>
      <c r="F1440" s="3" t="s">
        <v>2257</v>
      </c>
      <c r="G1440" s="3" t="s">
        <v>2257</v>
      </c>
      <c r="H1440" s="1" t="s">
        <v>2258</v>
      </c>
      <c r="I1440" s="1" t="s">
        <v>2258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26" t="str">
        <f>VLOOKUP(A1441,Meta.Features!$A:$K,$E$1,FALSE)</f>
        <v>Nominal</v>
      </c>
      <c r="F1441" s="3" t="s">
        <v>861</v>
      </c>
      <c r="G1441" s="3" t="s">
        <v>861</v>
      </c>
      <c r="H1441" s="1" t="s">
        <v>862</v>
      </c>
      <c r="I1441" s="1" t="s">
        <v>862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26" t="str">
        <f>VLOOKUP(A1442,Meta.Features!$A:$K,$E$1,FALSE)</f>
        <v>Nominal</v>
      </c>
      <c r="F1442" s="3" t="s">
        <v>863</v>
      </c>
      <c r="G1442" s="3" t="s">
        <v>863</v>
      </c>
      <c r="H1442" s="1" t="s">
        <v>864</v>
      </c>
      <c r="I1442" s="1" t="s">
        <v>864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26" t="str">
        <f>VLOOKUP(A1443,Meta.Features!$A:$K,$E$1,FALSE)</f>
        <v>Nominal</v>
      </c>
      <c r="F1443" s="3" t="s">
        <v>865</v>
      </c>
      <c r="G1443" s="3" t="s">
        <v>865</v>
      </c>
      <c r="H1443" s="1" t="s">
        <v>866</v>
      </c>
      <c r="I1443" s="1" t="s">
        <v>866</v>
      </c>
      <c r="J1443" s="1"/>
    </row>
    <row r="1444" spans="1:12" ht="18" customHeight="1" x14ac:dyDescent="0.3">
      <c r="A1444" s="28">
        <v>130</v>
      </c>
      <c r="B1444" s="26" t="str">
        <f>VLOOKUP(A1444,Meta.Features!$A:$G,$B$1,FALSE)</f>
        <v>SystemicTherapy</v>
      </c>
      <c r="C1444" s="26" t="str">
        <f>VLOOKUP(A1444,Meta.Features!$A:$G,$C$1,FALSE)</f>
        <v>therapieart</v>
      </c>
      <c r="D1444" s="26" t="str">
        <f>VLOOKUP(A1444,Meta.Features!$A:$G,$D$1,FALSE)</f>
        <v>Type</v>
      </c>
      <c r="E1444" s="26" t="str">
        <f>VLOOKUP(A1444,Meta.Features!$A:$K,$E$1,FALSE)</f>
        <v>Nominal</v>
      </c>
      <c r="F1444" s="3" t="s">
        <v>867</v>
      </c>
      <c r="G1444" s="3" t="s">
        <v>867</v>
      </c>
      <c r="H1444" s="1" t="s">
        <v>868</v>
      </c>
      <c r="I1444" s="1" t="s">
        <v>868</v>
      </c>
      <c r="J1444" s="1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26" t="str">
        <f>VLOOKUP(A1445,Meta.Features!$A:$K,$E$1,FALSE)</f>
        <v>Nominal</v>
      </c>
      <c r="F1445" s="5" t="s">
        <v>186</v>
      </c>
      <c r="G1445" s="5" t="s">
        <v>188</v>
      </c>
      <c r="H1445" s="7" t="s">
        <v>188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26" t="str">
        <f>VLOOKUP(A1446,Meta.Features!$A:$K,$E$1,FALSE)</f>
        <v>Nominal</v>
      </c>
      <c r="F1446" s="5" t="s">
        <v>46</v>
      </c>
      <c r="G1446" s="5" t="s">
        <v>458</v>
      </c>
      <c r="H1446" s="7" t="s">
        <v>458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26" t="str">
        <f>VLOOKUP(A1447,Meta.Features!$A:$K,$E$1,FALSE)</f>
        <v>Nominal</v>
      </c>
      <c r="F1447" s="5" t="s">
        <v>187</v>
      </c>
      <c r="G1447" s="5" t="s">
        <v>189</v>
      </c>
      <c r="H1447" s="7" t="s">
        <v>189</v>
      </c>
      <c r="I1447" s="4"/>
      <c r="L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26" t="str">
        <f>VLOOKUP(A1448,Meta.Features!$A:$K,$E$1,FALSE)</f>
        <v>Nominal</v>
      </c>
      <c r="F1448" s="3" t="s">
        <v>176</v>
      </c>
      <c r="G1448" s="5" t="s">
        <v>180</v>
      </c>
      <c r="H1448" s="7" t="s">
        <v>180</v>
      </c>
      <c r="I1448" s="4"/>
    </row>
    <row r="1449" spans="1:12" ht="18" customHeight="1" x14ac:dyDescent="0.3">
      <c r="A1449" s="28">
        <v>128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systemische_therapie_stellung_zu_op_therapie</v>
      </c>
      <c r="D1449" s="26" t="str">
        <f>VLOOKUP(A1449,Meta.Features!$A:$G,$D$1,FALSE)</f>
        <v>RelationToSurgery</v>
      </c>
      <c r="E1449" s="26" t="str">
        <f>VLOOKUP(A1449,Meta.Features!$A:$K,$E$1,FALSE)</f>
        <v>Nominal</v>
      </c>
      <c r="F1449" s="3" t="s">
        <v>181</v>
      </c>
      <c r="G1449" s="5" t="s">
        <v>1603</v>
      </c>
      <c r="H1449" s="7" t="s">
        <v>190</v>
      </c>
      <c r="I1449" s="4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26" t="str">
        <f>VLOOKUP(A1450,Meta.Features!$A:$K,$E$1,FALSE)</f>
        <v>Nominal</v>
      </c>
      <c r="F1450" s="3" t="s">
        <v>174</v>
      </c>
      <c r="G1450" s="3" t="s">
        <v>659</v>
      </c>
      <c r="H1450" s="1" t="s">
        <v>653</v>
      </c>
      <c r="I1450" s="1" t="s">
        <v>653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26" t="str">
        <f>VLOOKUP(A1451,Meta.Features!$A:$K,$E$1,FALSE)</f>
        <v>Nominal</v>
      </c>
      <c r="F1451" s="3" t="s">
        <v>614</v>
      </c>
      <c r="G1451" s="3">
        <v>1</v>
      </c>
      <c r="H1451" s="1" t="s">
        <v>654</v>
      </c>
      <c r="I1451" s="1" t="s">
        <v>654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26" t="str">
        <f>VLOOKUP(A1452,Meta.Features!$A:$K,$E$1,FALSE)</f>
        <v>Nominal</v>
      </c>
      <c r="F1452" s="3" t="s">
        <v>616</v>
      </c>
      <c r="G1452" s="3">
        <v>2</v>
      </c>
      <c r="H1452" s="1" t="s">
        <v>655</v>
      </c>
      <c r="I1452" s="1" t="s">
        <v>655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26" t="str">
        <f>VLOOKUP(A1453,Meta.Features!$A:$K,$E$1,FALSE)</f>
        <v>Nominal</v>
      </c>
      <c r="F1453" s="3" t="s">
        <v>631</v>
      </c>
      <c r="G1453" s="3">
        <v>3</v>
      </c>
      <c r="H1453" s="1" t="s">
        <v>656</v>
      </c>
      <c r="I1453" s="1" t="s">
        <v>656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26" t="str">
        <f>VLOOKUP(A1454,Meta.Features!$A:$K,$E$1,FALSE)</f>
        <v>Nominal</v>
      </c>
      <c r="F1454" s="3" t="s">
        <v>618</v>
      </c>
      <c r="G1454" s="3">
        <v>4</v>
      </c>
      <c r="H1454" s="1" t="s">
        <v>657</v>
      </c>
      <c r="I1454" s="1" t="s">
        <v>657</v>
      </c>
      <c r="J1454" s="1"/>
    </row>
    <row r="1455" spans="1:12" ht="18" customHeight="1" x14ac:dyDescent="0.3">
      <c r="A1455" s="28">
        <v>142</v>
      </c>
      <c r="B1455" s="26" t="str">
        <f>VLOOKUP(A1455,Meta.Features!$A:$G,$B$1,FALSE)</f>
        <v>SystemicTherapy</v>
      </c>
      <c r="C1455" s="26" t="str">
        <f>VLOOKUP(A1455,Meta.Features!$A:$G,$C$1,FALSE)</f>
        <v>CTCAEGrade</v>
      </c>
      <c r="D1455" s="26" t="str">
        <f>VLOOKUP(A1455,Meta.Features!$A:$G,$D$1,FALSE)</f>
        <v>CTCAEGrade</v>
      </c>
      <c r="E1455" s="26" t="str">
        <f>VLOOKUP(A1455,Meta.Features!$A:$K,$E$1,FALSE)</f>
        <v>Nominal</v>
      </c>
      <c r="F1455" s="3" t="s">
        <v>620</v>
      </c>
      <c r="G1455" s="3">
        <v>5</v>
      </c>
      <c r="H1455" s="1" t="s">
        <v>658</v>
      </c>
      <c r="I1455" s="1" t="s">
        <v>658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26" t="str">
        <f>VLOOKUP(A1456,Meta.Features!$A:$K,$E$1,FALSE)</f>
        <v>Nominal</v>
      </c>
      <c r="F1456" s="3" t="s">
        <v>842</v>
      </c>
      <c r="G1456" s="3" t="s">
        <v>842</v>
      </c>
      <c r="H1456" s="1" t="s">
        <v>843</v>
      </c>
      <c r="I1456" s="1" t="s">
        <v>843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26" t="str">
        <f>VLOOKUP(A1457,Meta.Features!$A:$K,$E$1,FALSE)</f>
        <v>Nominal</v>
      </c>
      <c r="F1457" s="3" t="s">
        <v>844</v>
      </c>
      <c r="G1457" s="3" t="s">
        <v>844</v>
      </c>
      <c r="H1457" s="1" t="s">
        <v>845</v>
      </c>
      <c r="I1457" s="1" t="s">
        <v>845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26" t="str">
        <f>VLOOKUP(A1458,Meta.Features!$A:$K,$E$1,FALSE)</f>
        <v>Nominal</v>
      </c>
      <c r="F1458" s="3" t="s">
        <v>846</v>
      </c>
      <c r="G1458" s="3" t="s">
        <v>846</v>
      </c>
      <c r="H1458" s="1" t="s">
        <v>847</v>
      </c>
      <c r="I1458" s="1" t="s">
        <v>847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26" t="str">
        <f>VLOOKUP(A1459,Meta.Features!$A:$K,$E$1,FALSE)</f>
        <v>Nominal</v>
      </c>
      <c r="F1459" s="3" t="s">
        <v>848</v>
      </c>
      <c r="G1459" s="3" t="s">
        <v>848</v>
      </c>
      <c r="H1459" s="1" t="s">
        <v>1452</v>
      </c>
      <c r="I1459" s="1" t="s">
        <v>1452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26" t="str">
        <f>VLOOKUP(A1460,Meta.Features!$A:$K,$E$1,FALSE)</f>
        <v>Nominal</v>
      </c>
      <c r="F1460" s="3" t="s">
        <v>850</v>
      </c>
      <c r="G1460" s="3" t="s">
        <v>850</v>
      </c>
      <c r="H1460" s="1" t="s">
        <v>851</v>
      </c>
      <c r="I1460" s="1" t="s">
        <v>851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26" t="str">
        <f>VLOOKUP(A1461,Meta.Features!$A:$K,$E$1,FALSE)</f>
        <v>Nominal</v>
      </c>
      <c r="F1461" s="3" t="s">
        <v>852</v>
      </c>
      <c r="G1461" s="3" t="s">
        <v>852</v>
      </c>
      <c r="H1461" s="1" t="s">
        <v>853</v>
      </c>
      <c r="I1461" s="1" t="s">
        <v>853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26" t="str">
        <f>VLOOKUP(A1462,Meta.Features!$A:$K,$E$1,FALSE)</f>
        <v>Nominal</v>
      </c>
      <c r="F1462" s="3" t="s">
        <v>854</v>
      </c>
      <c r="G1462" s="3" t="s">
        <v>854</v>
      </c>
      <c r="H1462" s="1" t="s">
        <v>855</v>
      </c>
      <c r="I1462" s="1" t="s">
        <v>855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26" t="str">
        <f>VLOOKUP(A1463,Meta.Features!$A:$K,$E$1,FALSE)</f>
        <v>Nominal</v>
      </c>
      <c r="F1463" s="3" t="s">
        <v>825</v>
      </c>
      <c r="G1463" s="3" t="s">
        <v>825</v>
      </c>
      <c r="H1463" s="1" t="s">
        <v>580</v>
      </c>
      <c r="I1463" s="1" t="s">
        <v>580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26" t="str">
        <f>VLOOKUP(A1464,Meta.Features!$A:$K,$E$1,FALSE)</f>
        <v>Nominal</v>
      </c>
      <c r="F1464" s="3" t="s">
        <v>869</v>
      </c>
      <c r="G1464" s="3" t="s">
        <v>869</v>
      </c>
      <c r="H1464" s="1" t="s">
        <v>870</v>
      </c>
      <c r="I1464" s="1" t="s">
        <v>870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26" t="str">
        <f>VLOOKUP(A1465,Meta.Features!$A:$K,$E$1,FALSE)</f>
        <v>Nominal</v>
      </c>
      <c r="F1465" s="3" t="s">
        <v>585</v>
      </c>
      <c r="G1465" s="3" t="s">
        <v>585</v>
      </c>
      <c r="H1465" s="1" t="s">
        <v>856</v>
      </c>
      <c r="I1465" s="1" t="s">
        <v>856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26" t="str">
        <f>VLOOKUP(A1466,Meta.Features!$A:$K,$E$1,FALSE)</f>
        <v>Nominal</v>
      </c>
      <c r="F1466" s="3" t="s">
        <v>857</v>
      </c>
      <c r="G1466" s="3" t="s">
        <v>857</v>
      </c>
      <c r="H1466" s="1" t="s">
        <v>858</v>
      </c>
      <c r="I1466" s="1" t="s">
        <v>858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26" t="str">
        <f>VLOOKUP(A1467,Meta.Features!$A:$K,$E$1,FALSE)</f>
        <v>Nominal</v>
      </c>
      <c r="F1467" s="3" t="s">
        <v>859</v>
      </c>
      <c r="G1467" s="3" t="s">
        <v>859</v>
      </c>
      <c r="H1467" s="1" t="s">
        <v>860</v>
      </c>
      <c r="I1467" s="1" t="s">
        <v>860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26" t="str">
        <f>VLOOKUP(A1468,Meta.Features!$A:$K,$E$1,FALSE)</f>
        <v>Nominal</v>
      </c>
      <c r="F1468" s="3" t="s">
        <v>2257</v>
      </c>
      <c r="G1468" s="3" t="s">
        <v>2257</v>
      </c>
      <c r="H1468" s="1" t="s">
        <v>2258</v>
      </c>
      <c r="I1468" s="1" t="s">
        <v>2258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26" t="str">
        <f>VLOOKUP(A1469,Meta.Features!$A:$K,$E$1,FALSE)</f>
        <v>Nominal</v>
      </c>
      <c r="F1469" s="3" t="s">
        <v>863</v>
      </c>
      <c r="G1469" s="3" t="s">
        <v>863</v>
      </c>
      <c r="H1469" s="1" t="s">
        <v>864</v>
      </c>
      <c r="I1469" s="1" t="s">
        <v>864</v>
      </c>
      <c r="J1469" s="1"/>
    </row>
    <row r="1470" spans="1:10" ht="18" customHeight="1" x14ac:dyDescent="0.3">
      <c r="A1470" s="28">
        <v>148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TherapyRecommendationType</v>
      </c>
      <c r="D1470" s="26" t="str">
        <f>VLOOKUP(A1470,Meta.Features!$A:$G,$D$1,FALSE)</f>
        <v>Type</v>
      </c>
      <c r="E1470" s="26" t="str">
        <f>VLOOKUP(A1470,Meta.Features!$A:$K,$E$1,FALSE)</f>
        <v>Nominal</v>
      </c>
      <c r="F1470" s="3" t="s">
        <v>861</v>
      </c>
      <c r="G1470" s="3" t="s">
        <v>861</v>
      </c>
      <c r="H1470" s="1" t="s">
        <v>862</v>
      </c>
      <c r="I1470" s="1" t="s">
        <v>862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26" t="str">
        <f>VLOOKUP(A1471,Meta.Features!$A:$K,$E$1,FALSE)</f>
        <v>Nominal</v>
      </c>
      <c r="F1471" s="3" t="s">
        <v>605</v>
      </c>
      <c r="G1471" s="3" t="s">
        <v>651</v>
      </c>
      <c r="H1471" s="1" t="s">
        <v>649</v>
      </c>
      <c r="I1471" s="1" t="s">
        <v>649</v>
      </c>
      <c r="J1471" s="1"/>
    </row>
    <row r="1472" spans="1:10" ht="18" customHeight="1" x14ac:dyDescent="0.3">
      <c r="A1472" s="28">
        <v>149</v>
      </c>
      <c r="B1472" s="26" t="str">
        <f>VLOOKUP(A1472,Meta.Features!$A:$G,$B$1,FALSE)</f>
        <v>TherapyRecommendation</v>
      </c>
      <c r="C1472" s="26" t="str">
        <f>VLOOKUP(A1472,Meta.Features!$A:$G,$C$1,FALSE)</f>
        <v>TherapyRecommendationDeviation</v>
      </c>
      <c r="D1472" s="26" t="str">
        <f>VLOOKUP(A1472,Meta.Features!$A:$G,$D$1,FALSE)</f>
        <v>Deviation</v>
      </c>
      <c r="E1472" s="26" t="str">
        <f>VLOOKUP(A1472,Meta.Features!$A:$K,$E$1,FALSE)</f>
        <v>Nominal</v>
      </c>
      <c r="F1472" s="3" t="s">
        <v>187</v>
      </c>
      <c r="G1472" s="3" t="s">
        <v>652</v>
      </c>
      <c r="H1472" s="1" t="s">
        <v>650</v>
      </c>
      <c r="I1472" s="1" t="s">
        <v>650</v>
      </c>
      <c r="J1472" s="1"/>
    </row>
  </sheetData>
  <autoFilter ref="A3:K1472" xr:uid="{6EF1C1D3-3AE0-4822-BECE-5F11FDFA805B}"/>
  <sortState xmlns:xlrd2="http://schemas.microsoft.com/office/spreadsheetml/2017/richdata2" ref="F900:G1427">
    <sortCondition ref="F900:F1427"/>
  </sortState>
  <conditionalFormatting sqref="F4:F14 F35:F50 F55:F60 F68:F98 F104:F154 F471:F580 F605:F651 F1445:F1449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45:G1449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G6" sqref="G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89.554687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2465</v>
      </c>
      <c r="G4" s="17" t="s">
        <v>2167</v>
      </c>
    </row>
    <row r="5" spans="1:7" ht="25.2" customHeight="1" x14ac:dyDescent="0.3">
      <c r="A5" s="5" t="s">
        <v>1458</v>
      </c>
      <c r="B5" s="37">
        <v>66</v>
      </c>
      <c r="C5" s="9" t="str">
        <f>VLOOKUP(B5,Meta.Features!$A:$G,$C$1,FALSE)</f>
        <v>Patient</v>
      </c>
      <c r="D5" s="44" t="str">
        <f>VLOOKUP(B5,Meta.Features!$A:$G,$D$1,FALSE)</f>
        <v>CausesOfDeath</v>
      </c>
      <c r="E5" s="5">
        <v>1</v>
      </c>
      <c r="F5" s="5" t="s">
        <v>2495</v>
      </c>
      <c r="G5" s="17" t="s">
        <v>2496</v>
      </c>
    </row>
    <row r="41" ht="32.4" customHeight="1" x14ac:dyDescent="0.3"/>
    <row r="44" ht="35.4" customHeight="1" x14ac:dyDescent="0.3"/>
  </sheetData>
  <conditionalFormatting sqref="F4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4" sqref="G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2478</v>
      </c>
      <c r="E3" s="32" t="s">
        <v>2480</v>
      </c>
      <c r="F3" s="32" t="s">
        <v>2493</v>
      </c>
      <c r="G3" s="32" t="s">
        <v>2494</v>
      </c>
      <c r="H3" s="32" t="s">
        <v>2479</v>
      </c>
      <c r="I3" s="32" t="s">
        <v>2486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2475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652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C1" workbookViewId="0">
      <selection activeCell="G8" sqref="G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2482</v>
      </c>
      <c r="E3" s="32" t="s">
        <v>2483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44" activePane="bottomRight" state="frozen"/>
      <selection pane="topRight" activeCell="G1" sqref="G1"/>
      <selection pane="bottomLeft" activeCell="A4" sqref="A4"/>
      <selection pane="bottomRight" activeCell="G153" sqref="G153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2467</v>
      </c>
      <c r="H3" s="32" t="s">
        <v>2487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2488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2466</v>
      </c>
      <c r="H5" s="3" t="s">
        <v>2488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2466</v>
      </c>
      <c r="H6" s="3" t="s">
        <v>2488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2466</v>
      </c>
      <c r="H7" s="3" t="s">
        <v>2488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2488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2488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2488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2488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2488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2488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2488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2466</v>
      </c>
      <c r="H15" s="3" t="s">
        <v>2488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2466</v>
      </c>
      <c r="H16" s="3" t="s">
        <v>2488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2466</v>
      </c>
      <c r="H17" s="3" t="s">
        <v>2488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2466</v>
      </c>
      <c r="H18" s="3" t="s">
        <v>2488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2488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2488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2488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2488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2488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2488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2466</v>
      </c>
      <c r="H25" s="3" t="s">
        <v>2488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2466</v>
      </c>
      <c r="H26" s="3" t="s">
        <v>2488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2466</v>
      </c>
      <c r="H27" s="3" t="s">
        <v>2488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2488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2488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2488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2488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2488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2488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2488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2466</v>
      </c>
      <c r="H35" s="3" t="s">
        <v>2488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2466</v>
      </c>
      <c r="H36" s="3" t="s">
        <v>2488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2488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2466</v>
      </c>
      <c r="H38" s="3" t="s">
        <v>2488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2466</v>
      </c>
      <c r="H39" s="3" t="s">
        <v>2488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2466</v>
      </c>
      <c r="H40" s="3" t="s">
        <v>2488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2466</v>
      </c>
      <c r="H41" s="3" t="s">
        <v>2488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2466</v>
      </c>
      <c r="H42" s="3" t="s">
        <v>2488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2488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2466</v>
      </c>
      <c r="H44" s="3" t="s">
        <v>2488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2488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2488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2488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2488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2488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2488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2466</v>
      </c>
      <c r="H51" s="3" t="s">
        <v>2488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2466</v>
      </c>
      <c r="H52" s="3" t="s">
        <v>2488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2466</v>
      </c>
      <c r="H53" s="3" t="s">
        <v>2488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2466</v>
      </c>
      <c r="H54" s="3" t="s">
        <v>2488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2488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2488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2466</v>
      </c>
      <c r="H57" s="3" t="s">
        <v>2488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2466</v>
      </c>
      <c r="H58" s="3" t="s">
        <v>2488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2466</v>
      </c>
      <c r="H59" s="3" t="s">
        <v>2488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2466</v>
      </c>
      <c r="H60" s="3" t="s">
        <v>2488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2466</v>
      </c>
      <c r="H61" s="3" t="s">
        <v>2488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2488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2488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2488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2466</v>
      </c>
      <c r="H65" s="3" t="s">
        <v>2488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2466</v>
      </c>
      <c r="H66" s="3" t="s">
        <v>2488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2466</v>
      </c>
      <c r="H67" s="3" t="s">
        <v>2488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2466</v>
      </c>
      <c r="H68" s="3" t="s">
        <v>2488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2466</v>
      </c>
      <c r="H69" s="3" t="s">
        <v>2488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2466</v>
      </c>
      <c r="H70" s="3" t="s">
        <v>2488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2488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2488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2466</v>
      </c>
      <c r="H73" s="3" t="s">
        <v>2488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2488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2466</v>
      </c>
      <c r="H75" s="3" t="s">
        <v>2488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2466</v>
      </c>
      <c r="H76" s="3" t="s">
        <v>2488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2488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2488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2466</v>
      </c>
      <c r="H79" s="3" t="s">
        <v>2488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2466</v>
      </c>
      <c r="H80" s="3" t="s">
        <v>2488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2466</v>
      </c>
      <c r="H81" s="3" t="s">
        <v>2488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2488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2488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2466</v>
      </c>
      <c r="H84" s="3" t="s">
        <v>2488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1570</v>
      </c>
      <c r="H85" s="3" t="s">
        <v>2488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2488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2488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2488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2488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2488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2488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2488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2488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2488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2488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2488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2488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2488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2466</v>
      </c>
      <c r="H99" s="3" t="s">
        <v>2488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2466</v>
      </c>
      <c r="H100" s="3" t="s">
        <v>2488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2466</v>
      </c>
      <c r="H101" s="3" t="s">
        <v>2488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2466</v>
      </c>
      <c r="H102" s="3" t="s">
        <v>2488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2219</v>
      </c>
      <c r="H103" s="3" t="s">
        <v>2488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2219</v>
      </c>
      <c r="H104" s="3" t="s">
        <v>2488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2466</v>
      </c>
      <c r="H105" s="3" t="s">
        <v>2488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2466</v>
      </c>
      <c r="H106" s="3" t="s">
        <v>2488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2488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2488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2488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2488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2488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2488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2488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2488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2488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2488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2488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2466</v>
      </c>
      <c r="H118" s="3" t="s">
        <v>2488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2466</v>
      </c>
      <c r="H119" s="3" t="s">
        <v>2488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2466</v>
      </c>
      <c r="H120" s="3" t="s">
        <v>2488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2466</v>
      </c>
      <c r="H121" s="3" t="s">
        <v>2488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2488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2466</v>
      </c>
      <c r="H123" s="3" t="s">
        <v>2488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2488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2488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2488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2488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2488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2466</v>
      </c>
      <c r="H129" s="3" t="s">
        <v>2488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2466</v>
      </c>
      <c r="H130" s="3" t="s">
        <v>2488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2466</v>
      </c>
      <c r="H131" s="3" t="s">
        <v>2488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2488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2488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2466</v>
      </c>
      <c r="H134" s="3" t="s">
        <v>2488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2466</v>
      </c>
      <c r="H135" s="3" t="s">
        <v>2488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2488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2488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2466</v>
      </c>
      <c r="H138" s="3" t="s">
        <v>2488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2488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2488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2488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2488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2488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2488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2488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2488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2488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2488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2488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2466</v>
      </c>
      <c r="H150" s="3" t="s">
        <v>2488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2466</v>
      </c>
      <c r="H151" s="3" t="s">
        <v>2488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2488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2488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topLeftCell="A131" workbookViewId="0">
      <selection activeCell="F4" sqref="F4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2481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J3" sqref="J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2226</v>
      </c>
      <c r="H2" s="51" t="s">
        <v>2226</v>
      </c>
      <c r="I2" s="51" t="s">
        <v>2226</v>
      </c>
      <c r="J2" s="51" t="s">
        <v>2226</v>
      </c>
      <c r="K2" s="57" t="s">
        <v>2226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2491</v>
      </c>
      <c r="G3" s="59" t="s">
        <v>2492</v>
      </c>
      <c r="H3" s="32" t="s">
        <v>2227</v>
      </c>
      <c r="I3" s="32" t="s">
        <v>2229</v>
      </c>
      <c r="J3" s="32" t="s">
        <v>2228</v>
      </c>
      <c r="K3" s="59" t="s">
        <v>2230</v>
      </c>
      <c r="L3" s="67" t="s">
        <v>2239</v>
      </c>
      <c r="M3" s="32" t="s">
        <v>2489</v>
      </c>
      <c r="N3" s="32" t="s">
        <v>2490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31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2226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2231</v>
      </c>
      <c r="G14" s="17" t="s">
        <v>2232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2182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2235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2142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2142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2233</v>
      </c>
      <c r="G23" s="17" t="s">
        <v>2234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2142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2211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2212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7"/>
  <sheetViews>
    <sheetView zoomScale="99" workbookViewId="0">
      <pane xSplit="4" ySplit="3" topLeftCell="E82" activePane="bottomRight" state="frozen"/>
      <selection pane="topRight" activeCell="G1" sqref="G1"/>
      <selection pane="bottomLeft" activeCell="A4" sqref="A4"/>
      <selection pane="bottomRight" activeCell="G97" sqref="G9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2242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2243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2155</v>
      </c>
      <c r="F40" s="3" t="s">
        <v>1655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2156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2157</v>
      </c>
      <c r="F42" s="3" t="s">
        <v>1654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2158</v>
      </c>
      <c r="F43" s="3" t="s">
        <v>1616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2159</v>
      </c>
      <c r="F44" s="3" t="s">
        <v>1643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2160</v>
      </c>
      <c r="F45" s="3" t="s">
        <v>1658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2161</v>
      </c>
      <c r="F46" s="3" t="s">
        <v>1692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2162</v>
      </c>
      <c r="F47" s="3" t="s">
        <v>1853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2163</v>
      </c>
      <c r="F48" s="3" t="s">
        <v>1678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2164</v>
      </c>
      <c r="F49" s="3" t="s">
        <v>1808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2165</v>
      </c>
      <c r="F50" s="3" t="s">
        <v>1791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2168</v>
      </c>
      <c r="F51" s="3" t="s">
        <v>1852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2169</v>
      </c>
      <c r="F52" s="3" t="s">
        <v>1825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2170</v>
      </c>
      <c r="F53" s="3" t="s">
        <v>1631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2171</v>
      </c>
      <c r="F54" s="3" t="s">
        <v>1621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2172</v>
      </c>
      <c r="F55" s="3" t="s">
        <v>1632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2173</v>
      </c>
      <c r="F56" s="3" t="s">
        <v>1819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2174</v>
      </c>
      <c r="F57" s="3" t="s">
        <v>1644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2175</v>
      </c>
      <c r="F58" s="3" t="s">
        <v>1898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2176</v>
      </c>
      <c r="F59" s="3" t="s">
        <v>1692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2177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2178</v>
      </c>
      <c r="F61" s="3" t="s">
        <v>1930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2179</v>
      </c>
      <c r="F62" s="3" t="s">
        <v>1951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2180</v>
      </c>
      <c r="F63" s="3" t="s">
        <v>1642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2181</v>
      </c>
      <c r="F64" s="3" t="s">
        <v>1660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2252</v>
      </c>
      <c r="F65" s="5" t="s">
        <v>1692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2254</v>
      </c>
      <c r="F66" s="5" t="s">
        <v>2253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2255</v>
      </c>
      <c r="F67" s="5" t="s">
        <v>1825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2259</v>
      </c>
      <c r="F68" s="5" t="s">
        <v>1625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2260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2261</v>
      </c>
      <c r="F70" s="5" t="s">
        <v>1684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2262</v>
      </c>
      <c r="F71" s="5" t="s">
        <v>1853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2263</v>
      </c>
      <c r="F72" s="5" t="s">
        <v>1616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2264</v>
      </c>
      <c r="F73" s="5" t="s">
        <v>1804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2265</v>
      </c>
      <c r="F74" s="5" t="s">
        <v>2183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2266</v>
      </c>
      <c r="F75" s="5" t="s">
        <v>1620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2267</v>
      </c>
      <c r="F76" s="5" t="s">
        <v>1754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2268</v>
      </c>
      <c r="F77" s="5" t="s">
        <v>1791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2269</v>
      </c>
      <c r="F78" s="5" t="s">
        <v>1856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2270</v>
      </c>
      <c r="F79" s="5" t="s">
        <v>1769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2271</v>
      </c>
      <c r="F80" s="5" t="s">
        <v>1670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2272</v>
      </c>
      <c r="F81" s="5" t="s">
        <v>1807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2273</v>
      </c>
      <c r="F82" s="5" t="s">
        <v>1805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2274</v>
      </c>
      <c r="F83" s="5" t="s">
        <v>1659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2275</v>
      </c>
      <c r="F84" s="5" t="s">
        <v>1691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2276</v>
      </c>
      <c r="F85" s="5" t="s">
        <v>1967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2277</v>
      </c>
      <c r="F86" s="5" t="s">
        <v>1684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2278</v>
      </c>
      <c r="F87" s="5" t="s">
        <v>1930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2279</v>
      </c>
      <c r="F88" s="5" t="s">
        <v>1654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2280</v>
      </c>
      <c r="F89" s="5" t="s">
        <v>1898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2281</v>
      </c>
      <c r="F90" s="5" t="s">
        <v>2128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2282</v>
      </c>
      <c r="F91" s="5" t="s">
        <v>1864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2283</v>
      </c>
      <c r="F92" s="5" t="s">
        <v>1864</v>
      </c>
    </row>
    <row r="93" spans="1:6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2497</v>
      </c>
      <c r="F93" s="5" t="s">
        <v>2497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"7.1"</f>
        <v>7.1</v>
      </c>
      <c r="F95" s="5">
        <v>7</v>
      </c>
    </row>
    <row r="96" spans="1:6" ht="25.2" customHeight="1" x14ac:dyDescent="0.3">
      <c r="A96" s="5" t="s">
        <v>1458</v>
      </c>
      <c r="B96" s="37">
        <v>21</v>
      </c>
      <c r="C96" s="9" t="str">
        <f>VLOOKUP(B96,Meta.Features!$A:$G,$C$1,FALSE)</f>
        <v>Diagnosis</v>
      </c>
      <c r="D96" s="44" t="str">
        <f>VLOOKUP(B96,Meta.Features!$A:$G,$D$1,FALSE)</f>
        <v>DiagnosisConfirmation</v>
      </c>
      <c r="E96" s="60" t="str">
        <f>"7.2"</f>
        <v>7.2</v>
      </c>
      <c r="F96" s="5">
        <v>7</v>
      </c>
    </row>
    <row r="97" spans="1:6" ht="25.2" customHeight="1" x14ac:dyDescent="0.3">
      <c r="A97" s="5" t="s">
        <v>1458</v>
      </c>
      <c r="B97" s="37">
        <v>21</v>
      </c>
      <c r="C97" s="9" t="str">
        <f>VLOOKUP(B97,Meta.Features!$A:$G,$C$1,FALSE)</f>
        <v>Diagnosis</v>
      </c>
      <c r="D97" s="44" t="str">
        <f>VLOOKUP(B97,Meta.Features!$A:$G,$D$1,FALSE)</f>
        <v>DiagnosisConfirmation</v>
      </c>
      <c r="E97" s="60" t="str">
        <f>"7.9"</f>
        <v>7.9</v>
      </c>
      <c r="F97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2226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2226</v>
      </c>
      <c r="N2" s="51" t="s">
        <v>2226</v>
      </c>
      <c r="O2" s="51" t="s">
        <v>2226</v>
      </c>
      <c r="P2" s="51" t="s">
        <v>2226</v>
      </c>
      <c r="Q2" s="51" t="s">
        <v>2226</v>
      </c>
      <c r="R2" s="51" t="s">
        <v>2226</v>
      </c>
      <c r="S2" s="51" t="s">
        <v>2226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2145</v>
      </c>
      <c r="G3" s="32" t="s">
        <v>2137</v>
      </c>
      <c r="H3" s="32" t="s">
        <v>2138</v>
      </c>
      <c r="I3" s="32" t="s">
        <v>2139</v>
      </c>
      <c r="J3" s="32" t="s">
        <v>2140</v>
      </c>
      <c r="K3" s="32" t="s">
        <v>2141</v>
      </c>
      <c r="L3" s="32" t="s">
        <v>2146</v>
      </c>
      <c r="M3" s="32" t="s">
        <v>2150</v>
      </c>
      <c r="N3" s="32" t="s">
        <v>2151</v>
      </c>
      <c r="O3" s="32" t="s">
        <v>2152</v>
      </c>
      <c r="P3" s="32" t="s">
        <v>2153</v>
      </c>
      <c r="Q3" s="32" t="s">
        <v>2147</v>
      </c>
      <c r="R3" s="32" t="s">
        <v>2148</v>
      </c>
      <c r="S3" s="32" t="s">
        <v>2149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2144</v>
      </c>
      <c r="G4" s="3" t="s">
        <v>652</v>
      </c>
      <c r="H4" s="3" t="s">
        <v>2154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2144</v>
      </c>
      <c r="G5" s="3" t="s">
        <v>652</v>
      </c>
      <c r="H5" s="3" t="s">
        <v>2154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2144</v>
      </c>
      <c r="G6" s="3" t="s">
        <v>652</v>
      </c>
      <c r="H6" s="3" t="s">
        <v>2154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2144</v>
      </c>
      <c r="G7" s="3" t="s">
        <v>652</v>
      </c>
      <c r="H7" s="3" t="s">
        <v>2154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2144</v>
      </c>
      <c r="G8" s="3" t="s">
        <v>652</v>
      </c>
      <c r="H8" s="3" t="s">
        <v>2154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2144</v>
      </c>
      <c r="G9" s="3" t="s">
        <v>652</v>
      </c>
      <c r="H9" s="3" t="s">
        <v>2154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2144</v>
      </c>
      <c r="G10" s="3" t="s">
        <v>652</v>
      </c>
      <c r="H10" s="3" t="s">
        <v>2154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2144</v>
      </c>
      <c r="G11" s="3" t="s">
        <v>652</v>
      </c>
      <c r="H11" s="3" t="s">
        <v>2154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2144</v>
      </c>
      <c r="G12" s="3" t="s">
        <v>652</v>
      </c>
      <c r="H12" s="3" t="s">
        <v>2154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2144</v>
      </c>
      <c r="G13" s="3" t="s">
        <v>652</v>
      </c>
      <c r="H13" s="3" t="s">
        <v>2154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2144</v>
      </c>
      <c r="G14" s="3" t="s">
        <v>652</v>
      </c>
      <c r="H14" s="3" t="s">
        <v>2154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2144</v>
      </c>
      <c r="G15" s="3" t="s">
        <v>652</v>
      </c>
      <c r="H15" s="3" t="s">
        <v>2154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2144</v>
      </c>
      <c r="G16" s="3" t="s">
        <v>652</v>
      </c>
      <c r="H16" s="3" t="s">
        <v>2154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2144</v>
      </c>
      <c r="G17" s="3" t="s">
        <v>652</v>
      </c>
      <c r="H17" s="3" t="s">
        <v>2154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2144</v>
      </c>
      <c r="G18" s="3" t="s">
        <v>652</v>
      </c>
      <c r="H18" s="3" t="s">
        <v>2154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2144</v>
      </c>
      <c r="G19" s="3" t="s">
        <v>652</v>
      </c>
      <c r="H19" s="3" t="s">
        <v>2154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2144</v>
      </c>
      <c r="G20" s="3" t="s">
        <v>652</v>
      </c>
      <c r="H20" s="3" t="s">
        <v>2154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2144</v>
      </c>
      <c r="G21" s="3" t="s">
        <v>652</v>
      </c>
      <c r="H21" s="3" t="s">
        <v>2154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2144</v>
      </c>
      <c r="G22" s="3" t="s">
        <v>652</v>
      </c>
      <c r="H22" s="3" t="s">
        <v>2154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2144</v>
      </c>
      <c r="G23" s="3" t="s">
        <v>652</v>
      </c>
      <c r="H23" s="3" t="s">
        <v>2154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2144</v>
      </c>
      <c r="G24" s="3" t="s">
        <v>652</v>
      </c>
      <c r="H24" s="3" t="s">
        <v>2154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2144</v>
      </c>
      <c r="G25" s="3" t="s">
        <v>652</v>
      </c>
      <c r="H25" s="3" t="s">
        <v>2154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2144</v>
      </c>
      <c r="G26" s="3" t="s">
        <v>652</v>
      </c>
      <c r="H26" s="3" t="s">
        <v>2154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2144</v>
      </c>
      <c r="G27" s="3" t="s">
        <v>652</v>
      </c>
      <c r="H27" s="3" t="s">
        <v>2154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2144</v>
      </c>
      <c r="G28" s="3" t="s">
        <v>652</v>
      </c>
      <c r="H28" s="3" t="s">
        <v>2154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2144</v>
      </c>
      <c r="G29" s="3" t="s">
        <v>652</v>
      </c>
      <c r="H29" s="3" t="s">
        <v>2154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2144</v>
      </c>
      <c r="G30" s="3" t="s">
        <v>652</v>
      </c>
      <c r="H30" s="3" t="s">
        <v>2154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2144</v>
      </c>
      <c r="G31" s="3" t="s">
        <v>652</v>
      </c>
      <c r="H31" s="3" t="s">
        <v>2154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2144</v>
      </c>
      <c r="G32" s="3" t="s">
        <v>652</v>
      </c>
      <c r="H32" s="3" t="s">
        <v>2154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2144</v>
      </c>
      <c r="G33" s="3" t="s">
        <v>652</v>
      </c>
      <c r="H33" s="3" t="s">
        <v>2154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2144</v>
      </c>
      <c r="G34" s="3" t="s">
        <v>652</v>
      </c>
      <c r="H34" s="3" t="s">
        <v>2154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2144</v>
      </c>
      <c r="G35" s="3" t="s">
        <v>652</v>
      </c>
      <c r="H35" s="3" t="s">
        <v>2154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2144</v>
      </c>
      <c r="G36" s="3" t="s">
        <v>652</v>
      </c>
      <c r="H36" s="3" t="s">
        <v>2154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2144</v>
      </c>
      <c r="G37" s="3" t="s">
        <v>652</v>
      </c>
      <c r="H37" s="3" t="s">
        <v>2154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2144</v>
      </c>
      <c r="G38" s="3" t="s">
        <v>652</v>
      </c>
      <c r="H38" s="3" t="s">
        <v>2154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2144</v>
      </c>
      <c r="G39" s="3" t="s">
        <v>652</v>
      </c>
      <c r="H39" s="3" t="s">
        <v>2154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2144</v>
      </c>
      <c r="G40" s="3" t="s">
        <v>652</v>
      </c>
      <c r="H40" s="3" t="s">
        <v>2154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2144</v>
      </c>
      <c r="G41" s="3" t="s">
        <v>652</v>
      </c>
      <c r="H41" s="3" t="s">
        <v>2154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2144</v>
      </c>
      <c r="G42" s="3" t="s">
        <v>652</v>
      </c>
      <c r="H42" s="3" t="s">
        <v>2154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2144</v>
      </c>
      <c r="G43" s="3" t="s">
        <v>652</v>
      </c>
      <c r="H43" s="3" t="s">
        <v>2154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2144</v>
      </c>
      <c r="G44" s="3" t="s">
        <v>652</v>
      </c>
      <c r="H44" s="3" t="s">
        <v>2154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2144</v>
      </c>
      <c r="G45" s="3" t="s">
        <v>652</v>
      </c>
      <c r="H45" s="3" t="s">
        <v>2154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2144</v>
      </c>
      <c r="G46" s="3" t="s">
        <v>652</v>
      </c>
      <c r="H46" s="3" t="s">
        <v>2154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2144</v>
      </c>
      <c r="G47" s="3" t="s">
        <v>652</v>
      </c>
      <c r="H47" s="3" t="s">
        <v>2154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2144</v>
      </c>
      <c r="G48" s="3" t="s">
        <v>652</v>
      </c>
      <c r="H48" s="3" t="s">
        <v>2154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2144</v>
      </c>
      <c r="G49" s="3" t="s">
        <v>652</v>
      </c>
      <c r="H49" s="3" t="s">
        <v>2154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2144</v>
      </c>
      <c r="G50" s="3" t="s">
        <v>652</v>
      </c>
      <c r="H50" s="3" t="s">
        <v>2154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2144</v>
      </c>
      <c r="G51" s="3" t="s">
        <v>652</v>
      </c>
      <c r="H51" s="3" t="s">
        <v>2154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2144</v>
      </c>
      <c r="G52" s="3" t="s">
        <v>652</v>
      </c>
      <c r="H52" s="3" t="s">
        <v>2154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2144</v>
      </c>
      <c r="G53" s="3" t="s">
        <v>652</v>
      </c>
      <c r="H53" s="3" t="s">
        <v>2154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2144</v>
      </c>
      <c r="G54" s="3" t="s">
        <v>652</v>
      </c>
      <c r="H54" s="3" t="s">
        <v>2154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2144</v>
      </c>
      <c r="G55" s="3" t="s">
        <v>652</v>
      </c>
      <c r="H55" s="3" t="s">
        <v>2154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2144</v>
      </c>
      <c r="G56" s="3" t="s">
        <v>652</v>
      </c>
      <c r="H56" s="3" t="s">
        <v>2154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2144</v>
      </c>
      <c r="G57" s="3" t="s">
        <v>652</v>
      </c>
      <c r="H57" s="3" t="s">
        <v>2154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2144</v>
      </c>
      <c r="G58" s="3" t="s">
        <v>652</v>
      </c>
      <c r="H58" s="3" t="s">
        <v>2154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2144</v>
      </c>
      <c r="G59" s="3" t="s">
        <v>652</v>
      </c>
      <c r="H59" s="3" t="s">
        <v>2154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2144</v>
      </c>
      <c r="G60" s="3" t="s">
        <v>652</v>
      </c>
      <c r="H60" s="3" t="s">
        <v>2154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2144</v>
      </c>
      <c r="G61" s="3" t="s">
        <v>652</v>
      </c>
      <c r="H61" s="3" t="s">
        <v>2154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2144</v>
      </c>
      <c r="G62" s="3" t="s">
        <v>652</v>
      </c>
      <c r="H62" s="3" t="s">
        <v>2154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2144</v>
      </c>
      <c r="G63" s="3" t="s">
        <v>652</v>
      </c>
      <c r="H63" s="3" t="s">
        <v>2154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2144</v>
      </c>
      <c r="G64" s="3" t="s">
        <v>652</v>
      </c>
      <c r="H64" s="3" t="s">
        <v>2154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2144</v>
      </c>
      <c r="G65" s="3" t="s">
        <v>652</v>
      </c>
      <c r="H65" s="3" t="s">
        <v>2154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2144</v>
      </c>
      <c r="G66" s="3" t="s">
        <v>652</v>
      </c>
      <c r="H66" s="3" t="s">
        <v>2154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2144</v>
      </c>
      <c r="G67" s="3" t="s">
        <v>652</v>
      </c>
      <c r="H67" s="3" t="s">
        <v>2154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2144</v>
      </c>
      <c r="G68" s="3" t="s">
        <v>652</v>
      </c>
      <c r="H68" s="3" t="s">
        <v>2154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2144</v>
      </c>
      <c r="G69" s="3" t="s">
        <v>652</v>
      </c>
      <c r="H69" s="3" t="s">
        <v>2154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2144</v>
      </c>
      <c r="G70" s="3" t="s">
        <v>652</v>
      </c>
      <c r="H70" s="3" t="s">
        <v>2154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2144</v>
      </c>
      <c r="G71" s="3" t="s">
        <v>652</v>
      </c>
      <c r="H71" s="3" t="s">
        <v>2154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2144</v>
      </c>
      <c r="G72" s="3" t="s">
        <v>652</v>
      </c>
      <c r="H72" s="3" t="s">
        <v>2154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2144</v>
      </c>
      <c r="G73" s="3" t="s">
        <v>652</v>
      </c>
      <c r="H73" s="3" t="s">
        <v>2154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2144</v>
      </c>
      <c r="G74" s="3" t="s">
        <v>652</v>
      </c>
      <c r="H74" s="3" t="s">
        <v>2154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2144</v>
      </c>
      <c r="G75" s="3" t="s">
        <v>652</v>
      </c>
      <c r="H75" s="3" t="s">
        <v>2154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2144</v>
      </c>
      <c r="G76" s="3" t="s">
        <v>652</v>
      </c>
      <c r="H76" s="3" t="s">
        <v>2154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2144</v>
      </c>
      <c r="G77" s="3" t="s">
        <v>652</v>
      </c>
      <c r="H77" s="3" t="s">
        <v>2154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2144</v>
      </c>
      <c r="G78" s="3" t="s">
        <v>652</v>
      </c>
      <c r="H78" s="3" t="s">
        <v>2154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2144</v>
      </c>
      <c r="G79" s="3" t="s">
        <v>652</v>
      </c>
      <c r="H79" s="3" t="s">
        <v>2154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2144</v>
      </c>
      <c r="G80" s="3" t="s">
        <v>652</v>
      </c>
      <c r="H80" s="3" t="s">
        <v>2154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2144</v>
      </c>
      <c r="G81" s="3" t="s">
        <v>652</v>
      </c>
      <c r="H81" s="3" t="s">
        <v>2154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2144</v>
      </c>
      <c r="G82" s="3" t="s">
        <v>652</v>
      </c>
      <c r="H82" s="3" t="s">
        <v>2154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2144</v>
      </c>
      <c r="G83" s="3" t="s">
        <v>652</v>
      </c>
      <c r="H83" s="3" t="s">
        <v>2154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2144</v>
      </c>
      <c r="G84" s="3" t="s">
        <v>652</v>
      </c>
      <c r="H84" s="3" t="s">
        <v>2154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2144</v>
      </c>
      <c r="G85" s="3" t="s">
        <v>652</v>
      </c>
      <c r="H85" s="3" t="s">
        <v>2154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2144</v>
      </c>
      <c r="G86" s="3" t="s">
        <v>652</v>
      </c>
      <c r="H86" s="3" t="s">
        <v>2154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2144</v>
      </c>
      <c r="G87" s="3" t="s">
        <v>652</v>
      </c>
      <c r="H87" s="3" t="s">
        <v>2154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2144</v>
      </c>
      <c r="G88" s="3" t="s">
        <v>652</v>
      </c>
      <c r="H88" s="3" t="s">
        <v>2154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2144</v>
      </c>
      <c r="G89" s="3" t="s">
        <v>652</v>
      </c>
      <c r="H89" s="3" t="s">
        <v>2154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2144</v>
      </c>
      <c r="G90" s="3" t="s">
        <v>652</v>
      </c>
      <c r="H90" s="3" t="s">
        <v>2154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2144</v>
      </c>
      <c r="G91" s="3" t="s">
        <v>652</v>
      </c>
      <c r="H91" s="3" t="s">
        <v>2154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2144</v>
      </c>
      <c r="G92" s="3" t="s">
        <v>652</v>
      </c>
      <c r="H92" s="3" t="s">
        <v>2154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2144</v>
      </c>
      <c r="G93" s="3" t="s">
        <v>652</v>
      </c>
      <c r="H93" s="3" t="s">
        <v>2154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2144</v>
      </c>
      <c r="G94" s="3" t="s">
        <v>652</v>
      </c>
      <c r="H94" s="3" t="s">
        <v>2154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2144</v>
      </c>
      <c r="G95" s="3" t="s">
        <v>652</v>
      </c>
      <c r="H95" s="3" t="s">
        <v>2154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2144</v>
      </c>
      <c r="G96" s="3" t="s">
        <v>652</v>
      </c>
      <c r="H96" s="3" t="s">
        <v>2154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2144</v>
      </c>
      <c r="G97" s="3" t="s">
        <v>652</v>
      </c>
      <c r="H97" s="3" t="s">
        <v>2154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2144</v>
      </c>
      <c r="G98" s="3" t="s">
        <v>652</v>
      </c>
      <c r="H98" s="3" t="s">
        <v>2154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2144</v>
      </c>
      <c r="G99" s="3" t="s">
        <v>652</v>
      </c>
      <c r="H99" s="3" t="s">
        <v>2154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2144</v>
      </c>
      <c r="G100" s="3" t="s">
        <v>652</v>
      </c>
      <c r="H100" s="3" t="s">
        <v>2154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2144</v>
      </c>
      <c r="G101" s="3" t="s">
        <v>652</v>
      </c>
      <c r="H101" s="3" t="s">
        <v>2154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2144</v>
      </c>
      <c r="G102" s="3" t="s">
        <v>652</v>
      </c>
      <c r="H102" s="3" t="s">
        <v>2154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2144</v>
      </c>
      <c r="G103" s="3" t="s">
        <v>652</v>
      </c>
      <c r="H103" s="3" t="s">
        <v>2166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2144</v>
      </c>
      <c r="G104" s="3" t="s">
        <v>652</v>
      </c>
      <c r="H104" s="3" t="s">
        <v>2154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2144</v>
      </c>
      <c r="G105" s="3" t="s">
        <v>652</v>
      </c>
      <c r="H105" s="3" t="s">
        <v>2154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2144</v>
      </c>
      <c r="G106" s="3" t="s">
        <v>652</v>
      </c>
      <c r="H106" s="3" t="s">
        <v>2154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2144</v>
      </c>
      <c r="G107" s="3" t="s">
        <v>652</v>
      </c>
      <c r="H107" s="3" t="s">
        <v>2154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2144</v>
      </c>
      <c r="G108" s="3" t="s">
        <v>652</v>
      </c>
      <c r="H108" s="3" t="s">
        <v>2154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2144</v>
      </c>
      <c r="G109" s="3" t="s">
        <v>652</v>
      </c>
      <c r="H109" s="3" t="s">
        <v>2154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2144</v>
      </c>
      <c r="G110" s="3" t="s">
        <v>652</v>
      </c>
      <c r="H110" s="3" t="s">
        <v>2154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2144</v>
      </c>
      <c r="G111" s="3" t="s">
        <v>652</v>
      </c>
      <c r="H111" s="3" t="s">
        <v>2154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2144</v>
      </c>
      <c r="G112" s="3" t="s">
        <v>652</v>
      </c>
      <c r="H112" s="3" t="s">
        <v>2154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2144</v>
      </c>
      <c r="G113" s="3" t="s">
        <v>652</v>
      </c>
      <c r="H113" s="3" t="s">
        <v>2154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2144</v>
      </c>
      <c r="G114" s="3" t="s">
        <v>652</v>
      </c>
      <c r="H114" s="3" t="s">
        <v>2154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2144</v>
      </c>
      <c r="G115" s="3" t="s">
        <v>652</v>
      </c>
      <c r="H115" s="3" t="s">
        <v>2154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2144</v>
      </c>
      <c r="G116" s="3" t="s">
        <v>652</v>
      </c>
      <c r="H116" s="3" t="s">
        <v>2154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2144</v>
      </c>
      <c r="G117" s="3" t="s">
        <v>652</v>
      </c>
      <c r="H117" s="3" t="s">
        <v>2154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2144</v>
      </c>
      <c r="G118" s="3" t="s">
        <v>652</v>
      </c>
      <c r="H118" s="3" t="s">
        <v>2154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2144</v>
      </c>
      <c r="G119" s="3" t="s">
        <v>652</v>
      </c>
      <c r="H119" s="3" t="s">
        <v>2154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2144</v>
      </c>
      <c r="G120" s="3" t="s">
        <v>652</v>
      </c>
      <c r="H120" s="3" t="s">
        <v>2154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2144</v>
      </c>
      <c r="G121" s="3" t="s">
        <v>652</v>
      </c>
      <c r="H121" s="3" t="s">
        <v>2154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2144</v>
      </c>
      <c r="G122" s="3" t="s">
        <v>652</v>
      </c>
      <c r="H122" s="3" t="s">
        <v>2154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2144</v>
      </c>
      <c r="G123" s="3" t="s">
        <v>652</v>
      </c>
      <c r="H123" s="3" t="s">
        <v>2154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2144</v>
      </c>
      <c r="G124" s="3" t="s">
        <v>652</v>
      </c>
      <c r="H124" s="3" t="s">
        <v>2154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2144</v>
      </c>
      <c r="G125" s="3" t="s">
        <v>652</v>
      </c>
      <c r="H125" s="3" t="s">
        <v>2154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2144</v>
      </c>
      <c r="G126" s="3" t="s">
        <v>652</v>
      </c>
      <c r="H126" s="3" t="s">
        <v>2154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2144</v>
      </c>
      <c r="G127" s="3" t="s">
        <v>652</v>
      </c>
      <c r="H127" s="3" t="s">
        <v>2154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2144</v>
      </c>
      <c r="G128" s="3" t="s">
        <v>652</v>
      </c>
      <c r="H128" s="3" t="s">
        <v>2154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2144</v>
      </c>
      <c r="G129" s="3" t="s">
        <v>652</v>
      </c>
      <c r="H129" s="3" t="s">
        <v>2154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2144</v>
      </c>
      <c r="G130" s="3" t="s">
        <v>652</v>
      </c>
      <c r="H130" s="3" t="s">
        <v>2154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2144</v>
      </c>
      <c r="G131" s="3" t="s">
        <v>652</v>
      </c>
      <c r="H131" s="3" t="s">
        <v>2154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2144</v>
      </c>
      <c r="G132" s="3" t="s">
        <v>652</v>
      </c>
      <c r="H132" s="3" t="s">
        <v>2154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2144</v>
      </c>
      <c r="G133" s="3" t="s">
        <v>652</v>
      </c>
      <c r="H133" s="3" t="s">
        <v>2154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2144</v>
      </c>
      <c r="G134" s="3" t="s">
        <v>652</v>
      </c>
      <c r="H134" s="3" t="s">
        <v>2154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2144</v>
      </c>
      <c r="G135" s="3" t="s">
        <v>652</v>
      </c>
      <c r="H135" s="3" t="s">
        <v>2154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2144</v>
      </c>
      <c r="G136" s="3" t="s">
        <v>652</v>
      </c>
      <c r="H136" s="3" t="s">
        <v>2154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2144</v>
      </c>
      <c r="G137" s="3" t="s">
        <v>652</v>
      </c>
      <c r="H137" s="3" t="s">
        <v>2154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2144</v>
      </c>
      <c r="G138" s="3" t="s">
        <v>652</v>
      </c>
      <c r="H138" s="3" t="s">
        <v>2154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2144</v>
      </c>
      <c r="G139" s="3" t="s">
        <v>652</v>
      </c>
      <c r="H139" s="3" t="s">
        <v>2154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2144</v>
      </c>
      <c r="G140" s="3" t="s">
        <v>652</v>
      </c>
      <c r="H140" s="3" t="s">
        <v>2154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2144</v>
      </c>
      <c r="G141" s="3" t="s">
        <v>652</v>
      </c>
      <c r="H141" s="3" t="s">
        <v>2154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2144</v>
      </c>
      <c r="G142" s="3" t="s">
        <v>652</v>
      </c>
      <c r="H142" s="3" t="s">
        <v>2154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2144</v>
      </c>
      <c r="G143" s="3" t="s">
        <v>652</v>
      </c>
      <c r="H143" s="3" t="s">
        <v>2154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2144</v>
      </c>
      <c r="G144" s="3" t="s">
        <v>652</v>
      </c>
      <c r="H144" s="3" t="s">
        <v>2154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2144</v>
      </c>
      <c r="G145" s="3" t="s">
        <v>652</v>
      </c>
      <c r="H145" s="3" t="s">
        <v>2154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2144</v>
      </c>
      <c r="G146" s="3" t="s">
        <v>652</v>
      </c>
      <c r="H146" s="3" t="s">
        <v>2154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2144</v>
      </c>
      <c r="G147" s="3" t="s">
        <v>652</v>
      </c>
      <c r="H147" s="3" t="s">
        <v>2154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2144</v>
      </c>
      <c r="G148" s="3" t="s">
        <v>652</v>
      </c>
      <c r="H148" s="3" t="s">
        <v>2154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2144</v>
      </c>
      <c r="G149" s="3" t="s">
        <v>652</v>
      </c>
      <c r="H149" s="3" t="s">
        <v>2154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2144</v>
      </c>
      <c r="G150" s="3" t="s">
        <v>652</v>
      </c>
      <c r="H150" s="3" t="s">
        <v>2154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2144</v>
      </c>
      <c r="G151" s="3" t="s">
        <v>652</v>
      </c>
      <c r="H151" s="3" t="s">
        <v>2154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2144</v>
      </c>
      <c r="G152" s="3" t="s">
        <v>652</v>
      </c>
      <c r="H152" s="3" t="s">
        <v>2154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2144</v>
      </c>
      <c r="G153" s="3" t="s">
        <v>652</v>
      </c>
      <c r="H153" s="3" t="s">
        <v>2154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2226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2220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2221</v>
      </c>
    </row>
    <row r="6" spans="1:6" ht="37.799999999999997" customHeight="1" x14ac:dyDescent="0.3">
      <c r="A6" s="5" t="s">
        <v>1458</v>
      </c>
      <c r="B6" s="5" t="s">
        <v>2213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2213</v>
      </c>
      <c r="C7" s="5" t="str">
        <f>"'Same organ'"</f>
        <v>'Same organ'</v>
      </c>
      <c r="D7" s="5">
        <v>90</v>
      </c>
      <c r="E7" s="5">
        <v>2</v>
      </c>
      <c r="F7" s="5" t="s">
        <v>2220</v>
      </c>
    </row>
    <row r="8" spans="1:6" ht="37.799999999999997" customHeight="1" x14ac:dyDescent="0.3">
      <c r="A8" s="5" t="s">
        <v>1458</v>
      </c>
      <c r="B8" s="5" t="s">
        <v>2213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2213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2214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2214</v>
      </c>
      <c r="C11" s="5" t="str">
        <f>"'Same organ'"</f>
        <v>'Same organ'</v>
      </c>
      <c r="D11" s="5">
        <v>90</v>
      </c>
      <c r="E11" s="5">
        <v>2</v>
      </c>
      <c r="F11" s="5" t="s">
        <v>2221</v>
      </c>
    </row>
    <row r="12" spans="1:6" ht="37.799999999999997" customHeight="1" x14ac:dyDescent="0.3">
      <c r="A12" s="5" t="s">
        <v>1458</v>
      </c>
      <c r="B12" s="5" t="s">
        <v>2214</v>
      </c>
      <c r="C12" s="5" t="str">
        <f>"'Different'"</f>
        <v>'Different'</v>
      </c>
      <c r="D12" s="5">
        <v>0</v>
      </c>
      <c r="E12" s="5">
        <v>3</v>
      </c>
      <c r="F12" s="5" t="s">
        <v>2222</v>
      </c>
    </row>
    <row r="13" spans="1:6" ht="37.799999999999997" customHeight="1" x14ac:dyDescent="0.3">
      <c r="A13" s="5" t="s">
        <v>1458</v>
      </c>
      <c r="B13" s="5" t="s">
        <v>2215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2215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2215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2215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2215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2216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2216</v>
      </c>
      <c r="C19" s="16" t="str">
        <f>"'Same entity'"</f>
        <v>'Same entity'</v>
      </c>
      <c r="E19" s="5">
        <v>2</v>
      </c>
      <c r="F19" s="5" t="s">
        <v>2223</v>
      </c>
    </row>
    <row r="20" spans="1:6" ht="37.799999999999997" customHeight="1" x14ac:dyDescent="0.3">
      <c r="A20" s="5" t="s">
        <v>1458</v>
      </c>
      <c r="B20" s="5" t="s">
        <v>2216</v>
      </c>
      <c r="C20" s="5" t="str">
        <f>"'Different'"</f>
        <v>'Different'</v>
      </c>
      <c r="E20" s="5">
        <v>3</v>
      </c>
      <c r="F20" s="5" t="s">
        <v>2224</v>
      </c>
    </row>
    <row r="21" spans="1:6" ht="37.799999999999997" customHeight="1" x14ac:dyDescent="0.3">
      <c r="A21" s="5" t="s">
        <v>1458</v>
      </c>
      <c r="B21" s="5" t="s">
        <v>2217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2217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2218</v>
      </c>
      <c r="C23" s="5" t="str">
        <f>"'CandidateValue'"</f>
        <v>'CandidateValue'</v>
      </c>
      <c r="E23" s="5">
        <v>1</v>
      </c>
      <c r="F23" s="5" t="s">
        <v>2225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0" t="s">
        <v>1497</v>
      </c>
      <c r="H1" s="70"/>
      <c r="I1" s="70"/>
      <c r="J1" s="70"/>
      <c r="K1" s="70"/>
      <c r="L1" s="70" t="s">
        <v>1527</v>
      </c>
      <c r="M1" s="70"/>
      <c r="N1" s="70"/>
      <c r="O1" s="70"/>
      <c r="P1" s="70"/>
      <c r="Q1" s="70" t="s">
        <v>391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164</v>
      </c>
      <c r="AB1" s="70"/>
      <c r="AC1" s="70"/>
      <c r="AD1" s="70"/>
      <c r="AE1" s="70"/>
      <c r="AF1" s="69" t="s">
        <v>441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11</v>
      </c>
      <c r="AQ1" s="70"/>
      <c r="AR1" s="70"/>
      <c r="AS1" s="70"/>
      <c r="AT1" s="71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0" t="s">
        <v>391</v>
      </c>
      <c r="H1" s="70"/>
      <c r="I1" s="70"/>
      <c r="J1" s="70"/>
      <c r="K1" s="70"/>
      <c r="L1" s="69" t="s">
        <v>1506</v>
      </c>
      <c r="M1" s="70"/>
      <c r="N1" s="70"/>
      <c r="O1" s="70"/>
      <c r="P1" s="70"/>
      <c r="Q1" s="69" t="s">
        <v>1507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1508</v>
      </c>
      <c r="AB1" s="70"/>
      <c r="AC1" s="70"/>
      <c r="AD1" s="70"/>
      <c r="AE1" s="70"/>
      <c r="AF1" s="69" t="s">
        <v>164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1509</v>
      </c>
      <c r="AQ1" s="70"/>
      <c r="AR1" s="70"/>
      <c r="AS1" s="70"/>
      <c r="AT1" s="70"/>
      <c r="AU1" s="69" t="s">
        <v>11</v>
      </c>
      <c r="AV1" s="70"/>
      <c r="AW1" s="70"/>
      <c r="AX1" s="70"/>
      <c r="AY1" s="71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0" t="s">
        <v>186</v>
      </c>
      <c r="L1" s="70"/>
      <c r="M1" s="70"/>
      <c r="N1" s="70"/>
      <c r="O1" s="71"/>
      <c r="P1" s="20"/>
      <c r="Q1" s="69" t="s">
        <v>19</v>
      </c>
      <c r="R1" s="70"/>
      <c r="S1" s="70"/>
      <c r="T1" s="70"/>
      <c r="U1" s="71"/>
      <c r="V1" s="19"/>
      <c r="W1" s="69" t="s">
        <v>1507</v>
      </c>
      <c r="X1" s="70"/>
      <c r="Y1" s="70"/>
      <c r="Z1" s="70"/>
      <c r="AA1" s="70"/>
      <c r="AB1" s="19"/>
      <c r="AC1" s="69" t="s">
        <v>390</v>
      </c>
      <c r="AD1" s="70"/>
      <c r="AE1" s="70"/>
      <c r="AF1" s="70"/>
      <c r="AG1" s="70"/>
      <c r="AH1" s="69" t="s">
        <v>1508</v>
      </c>
      <c r="AI1" s="70"/>
      <c r="AJ1" s="70"/>
      <c r="AK1" s="70"/>
      <c r="AL1" s="70"/>
      <c r="AM1" s="69" t="s">
        <v>164</v>
      </c>
      <c r="AN1" s="70"/>
      <c r="AO1" s="70"/>
      <c r="AP1" s="70"/>
      <c r="AQ1" s="70"/>
      <c r="AR1" s="69" t="s">
        <v>398</v>
      </c>
      <c r="AS1" s="70"/>
      <c r="AT1" s="70"/>
      <c r="AU1" s="70"/>
      <c r="AV1" s="70"/>
      <c r="AW1" s="69" t="s">
        <v>1509</v>
      </c>
      <c r="AX1" s="70"/>
      <c r="AY1" s="70"/>
      <c r="AZ1" s="70"/>
      <c r="BA1" s="70"/>
      <c r="BB1" s="69" t="s">
        <v>11</v>
      </c>
      <c r="BC1" s="70"/>
      <c r="BD1" s="70"/>
      <c r="BE1" s="70"/>
      <c r="BF1" s="71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2026-05-13T13:01:17Z</dcterms:modified>
</cp:coreProperties>
</file>