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A4274D64-ECA4-4182-8901-BF56DAFF532F}" xr6:coauthVersionLast="47" xr6:coauthVersionMax="47" xr10:uidLastSave="{00000000-0000-0000-0000-000000000000}"/>
  <bookViews>
    <workbookView xWindow="22932" yWindow="-108" windowWidth="30936" windowHeight="16776" tabRatio="724" firstSheet="15" activeTab="16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Remedi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Meta.Values!$A$3:$K$1542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23" l="1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14" i="23"/>
  <c r="G115" i="23"/>
  <c r="G116" i="23"/>
  <c r="G117" i="23"/>
  <c r="G118" i="23"/>
  <c r="G119" i="23"/>
  <c r="G120" i="23"/>
  <c r="G121" i="23"/>
  <c r="G122" i="23"/>
  <c r="G123" i="23"/>
  <c r="G124" i="23"/>
  <c r="G125" i="23"/>
  <c r="G126" i="23"/>
  <c r="G127" i="23"/>
  <c r="G128" i="23"/>
  <c r="G129" i="23"/>
  <c r="G130" i="23"/>
  <c r="G131" i="23"/>
  <c r="G132" i="23"/>
  <c r="G133" i="23"/>
  <c r="G134" i="23"/>
  <c r="G135" i="23"/>
  <c r="G136" i="23"/>
  <c r="G137" i="23"/>
  <c r="G138" i="23"/>
  <c r="G139" i="23"/>
  <c r="G140" i="23"/>
  <c r="G141" i="23"/>
  <c r="G142" i="23"/>
  <c r="G143" i="23"/>
  <c r="G144" i="23"/>
  <c r="G145" i="23"/>
  <c r="G146" i="23"/>
  <c r="G147" i="23"/>
  <c r="G148" i="23"/>
  <c r="G149" i="23"/>
  <c r="G150" i="23"/>
  <c r="G151" i="23"/>
  <c r="G152" i="23"/>
  <c r="G153" i="23"/>
  <c r="G4" i="23"/>
  <c r="C148" i="38"/>
  <c r="D148" i="38"/>
  <c r="C5" i="35" l="1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C1" i="38"/>
  <c r="D1" i="15"/>
  <c r="C1" i="15"/>
  <c r="E1" i="32"/>
  <c r="D1" i="32"/>
  <c r="C1" i="32"/>
  <c r="E1" i="26"/>
  <c r="D1" i="26"/>
  <c r="C1" i="26"/>
  <c r="D1" i="23"/>
  <c r="C1" i="23"/>
  <c r="C1" i="35"/>
  <c r="C6" i="35" s="1"/>
  <c r="E1" i="1"/>
  <c r="D1" i="1"/>
  <c r="C1" i="1"/>
  <c r="B1" i="1"/>
  <c r="D925" i="1" l="1"/>
  <c r="D916" i="1"/>
  <c r="D907" i="1"/>
  <c r="D898" i="1"/>
  <c r="D893" i="1"/>
  <c r="D911" i="1"/>
  <c r="D902" i="1"/>
  <c r="D897" i="1"/>
  <c r="D888" i="1"/>
  <c r="D940" i="1"/>
  <c r="D953" i="1"/>
  <c r="D948" i="1"/>
  <c r="D939" i="1"/>
  <c r="D930" i="1"/>
  <c r="D920" i="1"/>
  <c r="D913" i="1"/>
  <c r="D890" i="1"/>
  <c r="D894" i="1"/>
  <c r="D952" i="1"/>
  <c r="D943" i="1"/>
  <c r="D934" i="1"/>
  <c r="D929" i="1"/>
  <c r="D922" i="1"/>
  <c r="D921" i="1"/>
  <c r="D903" i="1"/>
  <c r="D947" i="1"/>
  <c r="D938" i="1"/>
  <c r="D933" i="1"/>
  <c r="D924" i="1"/>
  <c r="D915" i="1"/>
  <c r="D906" i="1"/>
  <c r="D901" i="1"/>
  <c r="D892" i="1"/>
  <c r="D937" i="1"/>
  <c r="D928" i="1"/>
  <c r="D919" i="1"/>
  <c r="D910" i="1"/>
  <c r="D905" i="1"/>
  <c r="D896" i="1"/>
  <c r="D887" i="1"/>
  <c r="D895" i="1"/>
  <c r="D954" i="1"/>
  <c r="D917" i="1"/>
  <c r="D935" i="1"/>
  <c r="D951" i="1"/>
  <c r="D942" i="1"/>
  <c r="D950" i="1"/>
  <c r="D927" i="1"/>
  <c r="D931" i="1"/>
  <c r="D926" i="1"/>
  <c r="D889" i="1"/>
  <c r="D899" i="1"/>
  <c r="D946" i="1"/>
  <c r="D941" i="1"/>
  <c r="D932" i="1"/>
  <c r="D923" i="1"/>
  <c r="D914" i="1"/>
  <c r="D909" i="1"/>
  <c r="D900" i="1"/>
  <c r="D891" i="1"/>
  <c r="D936" i="1"/>
  <c r="D904" i="1"/>
  <c r="D949" i="1"/>
  <c r="D908" i="1"/>
  <c r="D944" i="1"/>
  <c r="D912" i="1"/>
  <c r="D945" i="1"/>
  <c r="D918" i="1"/>
  <c r="D886" i="1"/>
  <c r="E948" i="1"/>
  <c r="E939" i="1"/>
  <c r="E930" i="1"/>
  <c r="E925" i="1"/>
  <c r="E916" i="1"/>
  <c r="E907" i="1"/>
  <c r="E898" i="1"/>
  <c r="E893" i="1"/>
  <c r="E933" i="1"/>
  <c r="E906" i="1"/>
  <c r="E892" i="1"/>
  <c r="E952" i="1"/>
  <c r="E943" i="1"/>
  <c r="E934" i="1"/>
  <c r="E929" i="1"/>
  <c r="E920" i="1"/>
  <c r="E911" i="1"/>
  <c r="E902" i="1"/>
  <c r="E897" i="1"/>
  <c r="E888" i="1"/>
  <c r="E924" i="1"/>
  <c r="E953" i="1"/>
  <c r="E915" i="1"/>
  <c r="E901" i="1"/>
  <c r="E912" i="1"/>
  <c r="E947" i="1"/>
  <c r="E938" i="1"/>
  <c r="E887" i="1"/>
  <c r="E944" i="1"/>
  <c r="E951" i="1"/>
  <c r="E942" i="1"/>
  <c r="E937" i="1"/>
  <c r="E928" i="1"/>
  <c r="E919" i="1"/>
  <c r="E910" i="1"/>
  <c r="E905" i="1"/>
  <c r="E896" i="1"/>
  <c r="E918" i="1"/>
  <c r="E904" i="1"/>
  <c r="E886" i="1"/>
  <c r="E903" i="1"/>
  <c r="E946" i="1"/>
  <c r="E941" i="1"/>
  <c r="E932" i="1"/>
  <c r="E923" i="1"/>
  <c r="E914" i="1"/>
  <c r="E909" i="1"/>
  <c r="E900" i="1"/>
  <c r="E891" i="1"/>
  <c r="E950" i="1"/>
  <c r="E895" i="1"/>
  <c r="E926" i="1"/>
  <c r="E945" i="1"/>
  <c r="E936" i="1"/>
  <c r="E927" i="1"/>
  <c r="E913" i="1"/>
  <c r="E921" i="1"/>
  <c r="E889" i="1"/>
  <c r="E935" i="1"/>
  <c r="E894" i="1"/>
  <c r="E954" i="1"/>
  <c r="E949" i="1"/>
  <c r="E940" i="1"/>
  <c r="E931" i="1"/>
  <c r="E922" i="1"/>
  <c r="E917" i="1"/>
  <c r="E908" i="1"/>
  <c r="E899" i="1"/>
  <c r="E890" i="1"/>
  <c r="B954" i="1"/>
  <c r="B950" i="1"/>
  <c r="B946" i="1"/>
  <c r="B942" i="1"/>
  <c r="B938" i="1"/>
  <c r="B934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921" i="1"/>
  <c r="B912" i="1"/>
  <c r="B903" i="1"/>
  <c r="B889" i="1"/>
  <c r="B923" i="1"/>
  <c r="B891" i="1"/>
  <c r="B913" i="1"/>
  <c r="B953" i="1"/>
  <c r="B944" i="1"/>
  <c r="B935" i="1"/>
  <c r="B925" i="1"/>
  <c r="B916" i="1"/>
  <c r="B907" i="1"/>
  <c r="B893" i="1"/>
  <c r="B927" i="1"/>
  <c r="B931" i="1"/>
  <c r="B948" i="1"/>
  <c r="B939" i="1"/>
  <c r="B952" i="1"/>
  <c r="B943" i="1"/>
  <c r="B929" i="1"/>
  <c r="B920" i="1"/>
  <c r="B911" i="1"/>
  <c r="B897" i="1"/>
  <c r="B888" i="1"/>
  <c r="B947" i="1"/>
  <c r="B932" i="1"/>
  <c r="B899" i="1"/>
  <c r="B933" i="1"/>
  <c r="B924" i="1"/>
  <c r="B915" i="1"/>
  <c r="B901" i="1"/>
  <c r="B892" i="1"/>
  <c r="B900" i="1"/>
  <c r="B895" i="1"/>
  <c r="B941" i="1"/>
  <c r="B909" i="1"/>
  <c r="B936" i="1"/>
  <c r="B940" i="1"/>
  <c r="B908" i="1"/>
  <c r="B951" i="1"/>
  <c r="B937" i="1"/>
  <c r="B928" i="1"/>
  <c r="B919" i="1"/>
  <c r="B905" i="1"/>
  <c r="B896" i="1"/>
  <c r="B887" i="1"/>
  <c r="B945" i="1"/>
  <c r="B904" i="1"/>
  <c r="B949" i="1"/>
  <c r="B917" i="1"/>
  <c r="C954" i="1"/>
  <c r="C950" i="1"/>
  <c r="C946" i="1"/>
  <c r="C942" i="1"/>
  <c r="C938" i="1"/>
  <c r="C934" i="1"/>
  <c r="C930" i="1"/>
  <c r="C926" i="1"/>
  <c r="C922" i="1"/>
  <c r="C918" i="1"/>
  <c r="C914" i="1"/>
  <c r="C910" i="1"/>
  <c r="C906" i="1"/>
  <c r="C902" i="1"/>
  <c r="C898" i="1"/>
  <c r="C894" i="1"/>
  <c r="C890" i="1"/>
  <c r="C886" i="1"/>
  <c r="C953" i="1"/>
  <c r="C944" i="1"/>
  <c r="C935" i="1"/>
  <c r="C921" i="1"/>
  <c r="C912" i="1"/>
  <c r="C903" i="1"/>
  <c r="C889" i="1"/>
  <c r="C920" i="1"/>
  <c r="C888" i="1"/>
  <c r="C931" i="1"/>
  <c r="C899" i="1"/>
  <c r="C948" i="1"/>
  <c r="C939" i="1"/>
  <c r="C925" i="1"/>
  <c r="C916" i="1"/>
  <c r="C907" i="1"/>
  <c r="C893" i="1"/>
  <c r="C943" i="1"/>
  <c r="C911" i="1"/>
  <c r="C897" i="1"/>
  <c r="C917" i="1"/>
  <c r="C929" i="1"/>
  <c r="C949" i="1"/>
  <c r="C952" i="1"/>
  <c r="C909" i="1"/>
  <c r="C891" i="1"/>
  <c r="C908" i="1"/>
  <c r="C947" i="1"/>
  <c r="C933" i="1"/>
  <c r="C924" i="1"/>
  <c r="C915" i="1"/>
  <c r="C901" i="1"/>
  <c r="C892" i="1"/>
  <c r="C940" i="1"/>
  <c r="C951" i="1"/>
  <c r="C937" i="1"/>
  <c r="C928" i="1"/>
  <c r="C919" i="1"/>
  <c r="C905" i="1"/>
  <c r="C896" i="1"/>
  <c r="C887" i="1"/>
  <c r="C941" i="1"/>
  <c r="C932" i="1"/>
  <c r="C923" i="1"/>
  <c r="C900" i="1"/>
  <c r="C945" i="1"/>
  <c r="C936" i="1"/>
  <c r="C927" i="1"/>
  <c r="C913" i="1"/>
  <c r="C904" i="1"/>
  <c r="C895" i="1"/>
  <c r="E1295" i="1"/>
  <c r="E1214" i="1"/>
  <c r="D1295" i="1"/>
  <c r="D1214" i="1"/>
  <c r="B1295" i="1"/>
  <c r="B1214" i="1"/>
  <c r="C1295" i="1"/>
  <c r="C1214" i="1"/>
  <c r="C146" i="38"/>
  <c r="C147" i="38"/>
  <c r="D146" i="38"/>
  <c r="D147" i="38"/>
  <c r="C144" i="38"/>
  <c r="C145" i="38"/>
  <c r="D144" i="38"/>
  <c r="D145" i="38"/>
  <c r="D1077" i="1"/>
  <c r="E1077" i="1"/>
  <c r="B1077" i="1"/>
  <c r="C1077" i="1"/>
  <c r="D1136" i="1"/>
  <c r="D1107" i="1"/>
  <c r="E1136" i="1"/>
  <c r="E1107" i="1"/>
  <c r="B1136" i="1"/>
  <c r="B1107" i="1"/>
  <c r="C1136" i="1"/>
  <c r="C1107" i="1"/>
  <c r="C40" i="38"/>
  <c r="C143" i="38"/>
  <c r="D40" i="38"/>
  <c r="D143" i="38"/>
  <c r="C102" i="38"/>
  <c r="C108" i="38"/>
  <c r="C116" i="38"/>
  <c r="C124" i="38"/>
  <c r="C132" i="38"/>
  <c r="C140" i="38"/>
  <c r="C125" i="38"/>
  <c r="C141" i="38"/>
  <c r="C126" i="38"/>
  <c r="C142" i="38"/>
  <c r="C119" i="38"/>
  <c r="C135" i="38"/>
  <c r="C103" i="38"/>
  <c r="C120" i="38"/>
  <c r="C136" i="38"/>
  <c r="C131" i="38"/>
  <c r="C117" i="38"/>
  <c r="C133" i="38"/>
  <c r="C118" i="38"/>
  <c r="C134" i="38"/>
  <c r="C127" i="38"/>
  <c r="C128" i="38"/>
  <c r="C104" i="38"/>
  <c r="C139" i="38"/>
  <c r="C109" i="38"/>
  <c r="C110" i="38"/>
  <c r="C111" i="38"/>
  <c r="C112" i="38"/>
  <c r="C121" i="38"/>
  <c r="C129" i="38"/>
  <c r="C137" i="38"/>
  <c r="C105" i="38"/>
  <c r="C122" i="38"/>
  <c r="C130" i="38"/>
  <c r="C138" i="38"/>
  <c r="C106" i="38"/>
  <c r="C123" i="38"/>
  <c r="C107" i="38"/>
  <c r="C113" i="38"/>
  <c r="C114" i="38"/>
  <c r="C115" i="38"/>
  <c r="D102" i="38"/>
  <c r="D125" i="38"/>
  <c r="D126" i="38"/>
  <c r="D119" i="38"/>
  <c r="D135" i="38"/>
  <c r="D138" i="38"/>
  <c r="D131" i="38"/>
  <c r="D107" i="38"/>
  <c r="D108" i="38"/>
  <c r="D116" i="38"/>
  <c r="D124" i="38"/>
  <c r="D132" i="38"/>
  <c r="D140" i="38"/>
  <c r="D117" i="38"/>
  <c r="D133" i="38"/>
  <c r="D141" i="38"/>
  <c r="D118" i="38"/>
  <c r="D134" i="38"/>
  <c r="D142" i="38"/>
  <c r="D127" i="38"/>
  <c r="D103" i="38"/>
  <c r="D106" i="38"/>
  <c r="D123" i="38"/>
  <c r="D109" i="38"/>
  <c r="D110" i="38"/>
  <c r="D111" i="38"/>
  <c r="D112" i="38"/>
  <c r="D120" i="38"/>
  <c r="D128" i="38"/>
  <c r="D136" i="38"/>
  <c r="D104" i="38"/>
  <c r="D121" i="38"/>
  <c r="D129" i="38"/>
  <c r="D137" i="38"/>
  <c r="D105" i="38"/>
  <c r="D122" i="38"/>
  <c r="D130" i="38"/>
  <c r="D139" i="38"/>
  <c r="D113" i="38"/>
  <c r="D114" i="38"/>
  <c r="D115" i="38"/>
  <c r="C100" i="38"/>
  <c r="C101" i="38"/>
  <c r="D100" i="38"/>
  <c r="D101" i="38"/>
  <c r="B1466" i="1"/>
  <c r="B1307" i="1"/>
  <c r="C1466" i="1"/>
  <c r="C1307" i="1"/>
  <c r="E1466" i="1"/>
  <c r="E1307" i="1"/>
  <c r="D1466" i="1"/>
  <c r="D1307" i="1"/>
  <c r="B965" i="1"/>
  <c r="B1009" i="1"/>
  <c r="D965" i="1"/>
  <c r="D1009" i="1"/>
  <c r="C965" i="1"/>
  <c r="C1009" i="1"/>
  <c r="E965" i="1"/>
  <c r="E1009" i="1"/>
  <c r="C98" i="38"/>
  <c r="C99" i="38"/>
  <c r="D98" i="38"/>
  <c r="D99" i="38"/>
  <c r="C1221" i="1"/>
  <c r="C1446" i="1"/>
  <c r="D1221" i="1"/>
  <c r="D1446" i="1"/>
  <c r="E1221" i="1"/>
  <c r="E1446" i="1"/>
  <c r="B1221" i="1"/>
  <c r="B1446" i="1"/>
  <c r="D1075" i="1"/>
  <c r="D1089" i="1"/>
  <c r="E1075" i="1"/>
  <c r="E1089" i="1"/>
  <c r="C1075" i="1"/>
  <c r="C1089" i="1"/>
  <c r="B1075" i="1"/>
  <c r="B1089" i="1"/>
  <c r="B1391" i="1"/>
  <c r="B1496" i="1"/>
  <c r="E1391" i="1"/>
  <c r="E1496" i="1"/>
  <c r="C1391" i="1"/>
  <c r="C1496" i="1"/>
  <c r="D1391" i="1"/>
  <c r="D1496" i="1"/>
  <c r="D1154" i="1"/>
  <c r="D1155" i="1"/>
  <c r="B1154" i="1"/>
  <c r="B1155" i="1"/>
  <c r="C1154" i="1"/>
  <c r="C1155" i="1"/>
  <c r="E1154" i="1"/>
  <c r="E1155" i="1"/>
  <c r="D96" i="38"/>
  <c r="D97" i="38"/>
  <c r="C96" i="38"/>
  <c r="C97" i="38"/>
  <c r="C1096" i="1"/>
  <c r="C1132" i="1"/>
  <c r="E1096" i="1"/>
  <c r="E1132" i="1"/>
  <c r="B1096" i="1"/>
  <c r="B1132" i="1"/>
  <c r="D1096" i="1"/>
  <c r="D1132" i="1"/>
  <c r="D1024" i="1"/>
  <c r="D1058" i="1"/>
  <c r="C1024" i="1"/>
  <c r="C1058" i="1"/>
  <c r="B1024" i="1"/>
  <c r="B1058" i="1"/>
  <c r="E1024" i="1"/>
  <c r="E1058" i="1"/>
  <c r="B1498" i="1"/>
  <c r="B1164" i="1"/>
  <c r="C1498" i="1"/>
  <c r="C1164" i="1"/>
  <c r="D1498" i="1"/>
  <c r="D1164" i="1"/>
  <c r="E1498" i="1"/>
  <c r="E1164" i="1"/>
  <c r="D4" i="35"/>
  <c r="D6" i="35"/>
  <c r="C94" i="38"/>
  <c r="C152" i="38"/>
  <c r="C95" i="38"/>
  <c r="D94" i="38"/>
  <c r="D95" i="38"/>
  <c r="D152" i="38"/>
  <c r="H18" i="40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151" i="38"/>
  <c r="E150" i="38"/>
  <c r="E149" i="38" l="1"/>
  <c r="D88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148" i="1"/>
  <c r="C1120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150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7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2" i="38"/>
  <c r="D31" i="37"/>
  <c r="D89" i="38"/>
  <c r="D151" i="38"/>
  <c r="D11" i="38"/>
  <c r="D87" i="38"/>
  <c r="D150" i="38"/>
  <c r="D66" i="38"/>
  <c r="D86" i="38"/>
  <c r="E727" i="1"/>
  <c r="D74" i="38"/>
  <c r="D85" i="38"/>
  <c r="D727" i="1"/>
  <c r="D73" i="38"/>
  <c r="D84" i="38"/>
  <c r="C727" i="1"/>
  <c r="D72" i="38"/>
  <c r="D83" i="38"/>
  <c r="D71" i="38"/>
  <c r="D82" i="38"/>
  <c r="D70" i="38"/>
  <c r="D81" i="38"/>
  <c r="D69" i="38"/>
  <c r="D80" i="38"/>
  <c r="D68" i="38"/>
  <c r="D79" i="38"/>
  <c r="C31" i="37"/>
  <c r="D67" i="38"/>
  <c r="D78" i="38"/>
  <c r="D93" i="38"/>
  <c r="D77" i="38"/>
  <c r="D31" i="26"/>
  <c r="D92" i="38"/>
  <c r="D76" i="38"/>
  <c r="E31" i="32"/>
  <c r="D91" i="38"/>
  <c r="D75" i="38"/>
  <c r="D31" i="32"/>
  <c r="D90" i="38"/>
  <c r="D149" i="38"/>
  <c r="C31" i="23"/>
  <c r="C73" i="38"/>
  <c r="C92" i="38"/>
  <c r="C84" i="38"/>
  <c r="C76" i="38"/>
  <c r="C31" i="26"/>
  <c r="C72" i="38"/>
  <c r="C91" i="38"/>
  <c r="C83" i="38"/>
  <c r="C75" i="38"/>
  <c r="C71" i="38"/>
  <c r="C90" i="38"/>
  <c r="C82" i="38"/>
  <c r="C149" i="38"/>
  <c r="C31" i="32"/>
  <c r="C70" i="38"/>
  <c r="C89" i="38"/>
  <c r="C81" i="38"/>
  <c r="C151" i="38"/>
  <c r="C69" i="38"/>
  <c r="C88" i="38"/>
  <c r="C80" i="38"/>
  <c r="B157" i="1"/>
  <c r="C10" i="38"/>
  <c r="C68" i="38"/>
  <c r="C87" i="38"/>
  <c r="C79" i="38"/>
  <c r="C66" i="38"/>
  <c r="C67" i="38"/>
  <c r="C86" i="38"/>
  <c r="C78" i="38"/>
  <c r="C74" i="38"/>
  <c r="C93" i="38"/>
  <c r="C85" i="38"/>
  <c r="E450" i="1"/>
  <c r="D450" i="1"/>
  <c r="C450" i="1"/>
  <c r="B450" i="1"/>
  <c r="E449" i="1"/>
  <c r="D449" i="1"/>
  <c r="C449" i="1"/>
  <c r="B449" i="1"/>
  <c r="C883" i="1"/>
  <c r="D769" i="1"/>
  <c r="D855" i="1"/>
  <c r="C805" i="1"/>
  <c r="E825" i="1"/>
  <c r="B741" i="1"/>
  <c r="E868" i="1"/>
  <c r="C812" i="1"/>
  <c r="D776" i="1"/>
  <c r="C755" i="1"/>
  <c r="E880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2" i="1"/>
  <c r="D847" i="1"/>
  <c r="D783" i="1"/>
  <c r="D761" i="1"/>
  <c r="E740" i="1"/>
  <c r="D874" i="1"/>
  <c r="D880" i="1"/>
  <c r="C874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E812" i="1"/>
  <c r="B805" i="1"/>
  <c r="B833" i="1"/>
  <c r="B769" i="1"/>
  <c r="C748" i="1"/>
  <c r="C880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5" i="1"/>
  <c r="E797" i="1"/>
  <c r="D882" i="1"/>
  <c r="D797" i="1"/>
  <c r="C803" i="1"/>
  <c r="C796" i="1"/>
  <c r="E788" i="1"/>
  <c r="C781" i="1"/>
  <c r="E773" i="1"/>
  <c r="D767" i="1"/>
  <c r="D760" i="1"/>
  <c r="B753" i="1"/>
  <c r="D745" i="1"/>
  <c r="C739" i="1"/>
  <c r="C820" i="1"/>
  <c r="E748" i="1"/>
  <c r="C833" i="1"/>
  <c r="E776" i="1"/>
  <c r="D840" i="1"/>
  <c r="E852" i="1"/>
  <c r="D824" i="1"/>
  <c r="E879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5" i="1"/>
  <c r="C797" i="1"/>
  <c r="C867" i="1"/>
  <c r="C860" i="1"/>
  <c r="C845" i="1"/>
  <c r="E837" i="1"/>
  <c r="D831" i="1"/>
  <c r="B817" i="1"/>
  <c r="D809" i="1"/>
  <c r="D879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5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C879" i="1"/>
  <c r="D844" i="1"/>
  <c r="E808" i="1"/>
  <c r="D737" i="1"/>
  <c r="E884" i="1"/>
  <c r="D878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0" i="1"/>
  <c r="D851" i="1"/>
  <c r="C816" i="1"/>
  <c r="C737" i="1"/>
  <c r="D884" i="1"/>
  <c r="C878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C884" i="1"/>
  <c r="E876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E789" i="1"/>
  <c r="E737" i="1"/>
  <c r="E857" i="1"/>
  <c r="D829" i="1"/>
  <c r="B884" i="1"/>
  <c r="D876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E883" i="1"/>
  <c r="C876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D883" i="1"/>
  <c r="B876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83" i="1"/>
  <c r="B879" i="1"/>
  <c r="B875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82" i="1"/>
  <c r="E878" i="1"/>
  <c r="E874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82" i="1"/>
  <c r="B878" i="1"/>
  <c r="B874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85" i="1"/>
  <c r="E881" i="1"/>
  <c r="E877" i="1"/>
  <c r="E873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85" i="1"/>
  <c r="D881" i="1"/>
  <c r="D877" i="1"/>
  <c r="D873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85" i="1"/>
  <c r="C881" i="1"/>
  <c r="C877" i="1"/>
  <c r="C873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85" i="1"/>
  <c r="B881" i="1"/>
  <c r="B877" i="1"/>
  <c r="B873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81" i="1"/>
  <c r="B197" i="1"/>
  <c r="C1539" i="1"/>
  <c r="B1540" i="1"/>
  <c r="D1540" i="1"/>
  <c r="B1503" i="1"/>
  <c r="E1540" i="1"/>
  <c r="C1540" i="1"/>
  <c r="E1492" i="1"/>
  <c r="B552" i="1"/>
  <c r="B1491" i="1"/>
  <c r="B1484" i="1"/>
  <c r="E1541" i="1"/>
  <c r="B1472" i="1"/>
  <c r="E1539" i="1"/>
  <c r="E1533" i="1"/>
  <c r="E1463" i="1"/>
  <c r="D1539" i="1"/>
  <c r="E1529" i="1"/>
  <c r="E125" i="1"/>
  <c r="E1528" i="1"/>
  <c r="B1452" i="1"/>
  <c r="B1539" i="1"/>
  <c r="B519" i="1"/>
  <c r="B613" i="1"/>
  <c r="B253" i="1"/>
  <c r="B1459" i="1"/>
  <c r="B658" i="1"/>
  <c r="E1527" i="1"/>
  <c r="E1451" i="1"/>
  <c r="E1538" i="1"/>
  <c r="B641" i="1"/>
  <c r="B1526" i="1"/>
  <c r="B1445" i="1"/>
  <c r="D1538" i="1"/>
  <c r="E1524" i="1"/>
  <c r="B1407" i="1"/>
  <c r="C1538" i="1"/>
  <c r="E1401" i="1"/>
  <c r="B1538" i="1"/>
  <c r="B1513" i="1"/>
  <c r="B1530" i="1"/>
  <c r="B1512" i="1"/>
  <c r="B1376" i="1"/>
  <c r="E1537" i="1"/>
  <c r="B1352" i="1"/>
  <c r="E1511" i="1"/>
  <c r="B1369" i="1"/>
  <c r="D1537" i="1"/>
  <c r="B653" i="1"/>
  <c r="B1506" i="1"/>
  <c r="B1363" i="1"/>
  <c r="C1537" i="1"/>
  <c r="B1518" i="1"/>
  <c r="B639" i="1"/>
  <c r="B1541" i="1"/>
  <c r="B1499" i="1"/>
  <c r="B1336" i="1"/>
  <c r="B1537" i="1"/>
  <c r="B1349" i="1"/>
  <c r="E1510" i="1"/>
  <c r="D1510" i="1"/>
  <c r="C1510" i="1"/>
  <c r="B1510" i="1"/>
  <c r="E1477" i="1"/>
  <c r="E1347" i="1"/>
  <c r="E1339" i="1"/>
  <c r="E1520" i="1"/>
  <c r="E1461" i="1"/>
  <c r="E1516" i="1"/>
  <c r="E1361" i="1"/>
  <c r="E1506" i="1"/>
  <c r="E1443" i="1"/>
  <c r="D1361" i="1"/>
  <c r="C1361" i="1"/>
  <c r="E1502" i="1"/>
  <c r="B1361" i="1"/>
  <c r="E1500" i="1"/>
  <c r="E1447" i="1"/>
  <c r="B1301" i="1"/>
  <c r="E1277" i="1"/>
  <c r="E1523" i="1"/>
  <c r="E1480" i="1"/>
  <c r="E1396" i="1"/>
  <c r="D1277" i="1"/>
  <c r="E1478" i="1"/>
  <c r="E1392" i="1"/>
  <c r="C1277" i="1"/>
  <c r="E1517" i="1"/>
  <c r="B1478" i="1"/>
  <c r="B1388" i="1"/>
  <c r="B1277" i="1"/>
  <c r="D1508" i="1"/>
  <c r="D1348" i="1"/>
  <c r="E1390" i="1"/>
  <c r="D1528" i="1"/>
  <c r="E1473" i="1"/>
  <c r="E1442" i="1"/>
  <c r="E1334" i="1"/>
  <c r="E1499" i="1"/>
  <c r="E1432" i="1"/>
  <c r="D1387" i="1"/>
  <c r="E1470" i="1"/>
  <c r="E1431" i="1"/>
  <c r="E1386" i="1"/>
  <c r="E1300" i="1"/>
  <c r="E1519" i="1"/>
  <c r="E1497" i="1"/>
  <c r="E1469" i="1"/>
  <c r="E1430" i="1"/>
  <c r="E1382" i="1"/>
  <c r="E1294" i="1"/>
  <c r="D1518" i="1"/>
  <c r="E1494" i="1"/>
  <c r="E1465" i="1"/>
  <c r="E1426" i="1"/>
  <c r="E1379" i="1"/>
  <c r="E1290" i="1"/>
  <c r="E1424" i="1"/>
  <c r="E1286" i="1"/>
  <c r="D1422" i="1"/>
  <c r="E1285" i="1"/>
  <c r="E1536" i="1"/>
  <c r="E1515" i="1"/>
  <c r="E1490" i="1"/>
  <c r="E1460" i="1"/>
  <c r="E1420" i="1"/>
  <c r="D1367" i="1"/>
  <c r="D1239" i="1"/>
  <c r="D1486" i="1"/>
  <c r="E1415" i="1"/>
  <c r="E1366" i="1"/>
  <c r="D728" i="1"/>
  <c r="E1532" i="1"/>
  <c r="E1512" i="1"/>
  <c r="E1456" i="1"/>
  <c r="E1531" i="1"/>
  <c r="E1482" i="1"/>
  <c r="E1452" i="1"/>
  <c r="D1405" i="1"/>
  <c r="E1349" i="1"/>
  <c r="D613" i="1"/>
  <c r="E1335" i="1"/>
  <c r="D501" i="1"/>
  <c r="D377" i="1"/>
  <c r="D1477" i="1"/>
  <c r="E1449" i="1"/>
  <c r="E1411" i="1"/>
  <c r="D1330" i="1"/>
  <c r="E376" i="1"/>
  <c r="E1474" i="1"/>
  <c r="E1448" i="1"/>
  <c r="E1408" i="1"/>
  <c r="E1370" i="1"/>
  <c r="B1309" i="1"/>
  <c r="D261" i="1"/>
  <c r="E1303" i="1"/>
  <c r="E142" i="1"/>
  <c r="D142" i="1"/>
  <c r="E1438" i="1"/>
  <c r="E1399" i="1"/>
  <c r="E1362" i="1"/>
  <c r="B1294" i="1"/>
  <c r="C142" i="1"/>
  <c r="E1486" i="1"/>
  <c r="E1464" i="1"/>
  <c r="E1434" i="1"/>
  <c r="E1397" i="1"/>
  <c r="E1355" i="1"/>
  <c r="D1291" i="1"/>
  <c r="B142" i="1"/>
  <c r="D455" i="1"/>
  <c r="C455" i="1"/>
  <c r="E1325" i="1"/>
  <c r="E1238" i="1"/>
  <c r="B455" i="1"/>
  <c r="E1368" i="1"/>
  <c r="E1321" i="1"/>
  <c r="E1228" i="1"/>
  <c r="D454" i="1"/>
  <c r="E1320" i="1"/>
  <c r="E1205" i="1"/>
  <c r="C454" i="1"/>
  <c r="B454" i="1"/>
  <c r="E1306" i="1"/>
  <c r="E1044" i="1"/>
  <c r="E455" i="1"/>
  <c r="E1304" i="1"/>
  <c r="E1031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58" i="1"/>
  <c r="D971" i="1"/>
  <c r="D983" i="1"/>
  <c r="D1008" i="1"/>
  <c r="D1021" i="1"/>
  <c r="D1032" i="1"/>
  <c r="D1045" i="1"/>
  <c r="D1057" i="1"/>
  <c r="D1070" i="1"/>
  <c r="D1084" i="1"/>
  <c r="D1098" i="1"/>
  <c r="D1110" i="1"/>
  <c r="D1122" i="1"/>
  <c r="D1137" i="1"/>
  <c r="D1149" i="1"/>
  <c r="D1185" i="1"/>
  <c r="D1206" i="1"/>
  <c r="D1230" i="1"/>
  <c r="D1240" i="1"/>
  <c r="D1258" i="1"/>
  <c r="D1268" i="1"/>
  <c r="D1279" i="1"/>
  <c r="D1299" i="1"/>
  <c r="D1308" i="1"/>
  <c r="D1320" i="1"/>
  <c r="D1369" i="1"/>
  <c r="D1380" i="1"/>
  <c r="D1390" i="1"/>
  <c r="D1409" i="1"/>
  <c r="D1420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59" i="1"/>
  <c r="D972" i="1"/>
  <c r="D984" i="1"/>
  <c r="D995" i="1"/>
  <c r="D1033" i="1"/>
  <c r="D1085" i="1"/>
  <c r="D1111" i="1"/>
  <c r="D1123" i="1"/>
  <c r="D1138" i="1"/>
  <c r="D1150" i="1"/>
  <c r="D1163" i="1"/>
  <c r="D1174" i="1"/>
  <c r="D1196" i="1"/>
  <c r="D1207" i="1"/>
  <c r="D1220" i="1"/>
  <c r="D1231" i="1"/>
  <c r="D1241" i="1"/>
  <c r="D1251" i="1"/>
  <c r="D1259" i="1"/>
  <c r="D1269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73" i="1"/>
  <c r="D985" i="1"/>
  <c r="D996" i="1"/>
  <c r="D1010" i="1"/>
  <c r="D1022" i="1"/>
  <c r="D1034" i="1"/>
  <c r="D1046" i="1"/>
  <c r="D1059" i="1"/>
  <c r="D1071" i="1"/>
  <c r="D1086" i="1"/>
  <c r="D1099" i="1"/>
  <c r="D1112" i="1"/>
  <c r="D1139" i="1"/>
  <c r="D1151" i="1"/>
  <c r="D1175" i="1"/>
  <c r="D1186" i="1"/>
  <c r="D1208" i="1"/>
  <c r="D1252" i="1"/>
  <c r="D1260" i="1"/>
  <c r="D1280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60" i="1"/>
  <c r="D974" i="1"/>
  <c r="D986" i="1"/>
  <c r="D997" i="1"/>
  <c r="D1011" i="1"/>
  <c r="D1023" i="1"/>
  <c r="D1035" i="1"/>
  <c r="D1087" i="1"/>
  <c r="D1100" i="1"/>
  <c r="D1124" i="1"/>
  <c r="D1165" i="1"/>
  <c r="D1176" i="1"/>
  <c r="D1187" i="1"/>
  <c r="D1197" i="1"/>
  <c r="D1209" i="1"/>
  <c r="D1232" i="1"/>
  <c r="D1242" i="1"/>
  <c r="D1270" i="1"/>
  <c r="D1281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61" i="1"/>
  <c r="D998" i="1"/>
  <c r="D1012" i="1"/>
  <c r="D1036" i="1"/>
  <c r="D1047" i="1"/>
  <c r="D1060" i="1"/>
  <c r="D1072" i="1"/>
  <c r="D1088" i="1"/>
  <c r="D1113" i="1"/>
  <c r="D1125" i="1"/>
  <c r="D1140" i="1"/>
  <c r="D1188" i="1"/>
  <c r="D1198" i="1"/>
  <c r="D1210" i="1"/>
  <c r="D1222" i="1"/>
  <c r="D1253" i="1"/>
  <c r="D1261" i="1"/>
  <c r="D1282" i="1"/>
  <c r="D1322" i="1"/>
  <c r="D1341" i="1"/>
  <c r="D1372" i="1"/>
  <c r="D1383" i="1"/>
  <c r="D1393" i="1"/>
  <c r="D1403" i="1"/>
  <c r="D1412" i="1"/>
  <c r="D1423" i="1"/>
  <c r="D1433" i="1"/>
  <c r="D1455" i="1"/>
  <c r="D1464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75" i="1"/>
  <c r="D987" i="1"/>
  <c r="D999" i="1"/>
  <c r="D1013" i="1"/>
  <c r="D1025" i="1"/>
  <c r="D1037" i="1"/>
  <c r="D1061" i="1"/>
  <c r="D1073" i="1"/>
  <c r="D1090" i="1"/>
  <c r="D1101" i="1"/>
  <c r="D1126" i="1"/>
  <c r="D1152" i="1"/>
  <c r="D1166" i="1"/>
  <c r="D1177" i="1"/>
  <c r="D1199" i="1"/>
  <c r="D1223" i="1"/>
  <c r="D1233" i="1"/>
  <c r="D1243" i="1"/>
  <c r="D1271" i="1"/>
  <c r="D1283" i="1"/>
  <c r="D1292" i="1"/>
  <c r="D1301" i="1"/>
  <c r="D1311" i="1"/>
  <c r="D1332" i="1"/>
  <c r="D1342" i="1"/>
  <c r="D1351" i="1"/>
  <c r="D1363" i="1"/>
  <c r="D1373" i="1"/>
  <c r="D1394" i="1"/>
  <c r="D1424" i="1"/>
  <c r="D1434" i="1"/>
  <c r="D1445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62" i="1"/>
  <c r="D988" i="1"/>
  <c r="D1000" i="1"/>
  <c r="D1026" i="1"/>
  <c r="D1038" i="1"/>
  <c r="D1048" i="1"/>
  <c r="D1062" i="1"/>
  <c r="D1074" i="1"/>
  <c r="D1091" i="1"/>
  <c r="D1114" i="1"/>
  <c r="D1141" i="1"/>
  <c r="D1153" i="1"/>
  <c r="D1178" i="1"/>
  <c r="D1189" i="1"/>
  <c r="D1211" i="1"/>
  <c r="D1254" i="1"/>
  <c r="D1262" i="1"/>
  <c r="D1284" i="1"/>
  <c r="D1293" i="1"/>
  <c r="D1312" i="1"/>
  <c r="D1323" i="1"/>
  <c r="D1333" i="1"/>
  <c r="D1364" i="1"/>
  <c r="D1374" i="1"/>
  <c r="D1384" i="1"/>
  <c r="D1395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63" i="1"/>
  <c r="D976" i="1"/>
  <c r="D989" i="1"/>
  <c r="D1014" i="1"/>
  <c r="D1049" i="1"/>
  <c r="D1063" i="1"/>
  <c r="D1076" i="1"/>
  <c r="D1092" i="1"/>
  <c r="D1102" i="1"/>
  <c r="D1127" i="1"/>
  <c r="D1142" i="1"/>
  <c r="D1156" i="1"/>
  <c r="D1167" i="1"/>
  <c r="D1179" i="1"/>
  <c r="D1190" i="1"/>
  <c r="D1200" i="1"/>
  <c r="D1224" i="1"/>
  <c r="D1234" i="1"/>
  <c r="D1244" i="1"/>
  <c r="D1272" i="1"/>
  <c r="D1302" i="1"/>
  <c r="D1313" i="1"/>
  <c r="D1343" i="1"/>
  <c r="D1352" i="1"/>
  <c r="D1404" i="1"/>
  <c r="D1414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64" i="1"/>
  <c r="D977" i="1"/>
  <c r="D990" i="1"/>
  <c r="D1001" i="1"/>
  <c r="D1027" i="1"/>
  <c r="D1039" i="1"/>
  <c r="D1050" i="1"/>
  <c r="D1078" i="1"/>
  <c r="D1115" i="1"/>
  <c r="D1128" i="1"/>
  <c r="D1143" i="1"/>
  <c r="D1168" i="1"/>
  <c r="D1180" i="1"/>
  <c r="D1212" i="1"/>
  <c r="D1225" i="1"/>
  <c r="D1235" i="1"/>
  <c r="D1245" i="1"/>
  <c r="D1263" i="1"/>
  <c r="D1285" i="1"/>
  <c r="D1294" i="1"/>
  <c r="D1303" i="1"/>
  <c r="D1314" i="1"/>
  <c r="D1324" i="1"/>
  <c r="D1334" i="1"/>
  <c r="D1353" i="1"/>
  <c r="D1365" i="1"/>
  <c r="D1375" i="1"/>
  <c r="D1385" i="1"/>
  <c r="D1396" i="1"/>
  <c r="D1426" i="1"/>
  <c r="D1436" i="1"/>
  <c r="D1448" i="1"/>
  <c r="D1457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66" i="1"/>
  <c r="D978" i="1"/>
  <c r="D1015" i="1"/>
  <c r="D1040" i="1"/>
  <c r="D1064" i="1"/>
  <c r="D1093" i="1"/>
  <c r="D1103" i="1"/>
  <c r="D1116" i="1"/>
  <c r="D1129" i="1"/>
  <c r="D1144" i="1"/>
  <c r="D1157" i="1"/>
  <c r="D1169" i="1"/>
  <c r="D1181" i="1"/>
  <c r="D1191" i="1"/>
  <c r="D1201" i="1"/>
  <c r="D1226" i="1"/>
  <c r="D1236" i="1"/>
  <c r="D1246" i="1"/>
  <c r="D1264" i="1"/>
  <c r="D1273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79" i="1"/>
  <c r="D991" i="1"/>
  <c r="D1002" i="1"/>
  <c r="D1016" i="1"/>
  <c r="D1028" i="1"/>
  <c r="D1051" i="1"/>
  <c r="D1079" i="1"/>
  <c r="D1104" i="1"/>
  <c r="D1117" i="1"/>
  <c r="D1130" i="1"/>
  <c r="D1158" i="1"/>
  <c r="D1170" i="1"/>
  <c r="D1192" i="1"/>
  <c r="D1202" i="1"/>
  <c r="D1213" i="1"/>
  <c r="D1255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55" i="1"/>
  <c r="D967" i="1"/>
  <c r="D980" i="1"/>
  <c r="D1003" i="1"/>
  <c r="D1017" i="1"/>
  <c r="D1041" i="1"/>
  <c r="D1052" i="1"/>
  <c r="D1065" i="1"/>
  <c r="D1094" i="1"/>
  <c r="D1105" i="1"/>
  <c r="D1145" i="1"/>
  <c r="D1182" i="1"/>
  <c r="D1193" i="1"/>
  <c r="D1203" i="1"/>
  <c r="D1215" i="1"/>
  <c r="D1227" i="1"/>
  <c r="D1237" i="1"/>
  <c r="D1247" i="1"/>
  <c r="D1265" i="1"/>
  <c r="D1274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68" i="1"/>
  <c r="D981" i="1"/>
  <c r="D992" i="1"/>
  <c r="D1004" i="1"/>
  <c r="D1018" i="1"/>
  <c r="D1029" i="1"/>
  <c r="D1042" i="1"/>
  <c r="D1053" i="1"/>
  <c r="D1066" i="1"/>
  <c r="D1080" i="1"/>
  <c r="D1118" i="1"/>
  <c r="D1131" i="1"/>
  <c r="D1159" i="1"/>
  <c r="D1171" i="1"/>
  <c r="D1204" i="1"/>
  <c r="D1216" i="1"/>
  <c r="D1248" i="1"/>
  <c r="D1256" i="1"/>
  <c r="D1287" i="1"/>
  <c r="D1305" i="1"/>
  <c r="D1317" i="1"/>
  <c r="D1356" i="1"/>
  <c r="D1378" i="1"/>
  <c r="D1398" i="1"/>
  <c r="D1407" i="1"/>
  <c r="D1439" i="1"/>
  <c r="D1450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56" i="1"/>
  <c r="D969" i="1"/>
  <c r="D993" i="1"/>
  <c r="D1005" i="1"/>
  <c r="D1019" i="1"/>
  <c r="D1030" i="1"/>
  <c r="D1043" i="1"/>
  <c r="D1054" i="1"/>
  <c r="D1067" i="1"/>
  <c r="D1081" i="1"/>
  <c r="D1095" i="1"/>
  <c r="D1106" i="1"/>
  <c r="D1119" i="1"/>
  <c r="D1133" i="1"/>
  <c r="D1146" i="1"/>
  <c r="D1160" i="1"/>
  <c r="D1183" i="1"/>
  <c r="D1194" i="1"/>
  <c r="D1217" i="1"/>
  <c r="D1228" i="1"/>
  <c r="D1238" i="1"/>
  <c r="D1249" i="1"/>
  <c r="D1266" i="1"/>
  <c r="D1275" i="1"/>
  <c r="D1327" i="1"/>
  <c r="D1336" i="1"/>
  <c r="D1347" i="1"/>
  <c r="D1357" i="1"/>
  <c r="D1368" i="1"/>
  <c r="D1399" i="1"/>
  <c r="D1417" i="1"/>
  <c r="D1429" i="1"/>
  <c r="D1440" i="1"/>
  <c r="D1451" i="1"/>
  <c r="D1460" i="1"/>
  <c r="D1507" i="1"/>
  <c r="D1497" i="1"/>
  <c r="D1485" i="1"/>
  <c r="D1476" i="1"/>
  <c r="D1465" i="1"/>
  <c r="D1452" i="1"/>
  <c r="D1438" i="1"/>
  <c r="D1421" i="1"/>
  <c r="D1329" i="1"/>
  <c r="D1147" i="1"/>
  <c r="D1044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94" i="1"/>
  <c r="E1162" i="1"/>
  <c r="E1173" i="1"/>
  <c r="E1195" i="1"/>
  <c r="E1219" i="1"/>
  <c r="E1250" i="1"/>
  <c r="E1289" i="1"/>
  <c r="E1329" i="1"/>
  <c r="E1338" i="1"/>
  <c r="E1359" i="1"/>
  <c r="E1400" i="1"/>
  <c r="E473" i="1"/>
  <c r="E601" i="1"/>
  <c r="E685" i="1"/>
  <c r="E1008" i="1"/>
  <c r="E1021" i="1"/>
  <c r="E1045" i="1"/>
  <c r="E1057" i="1"/>
  <c r="E1070" i="1"/>
  <c r="E1098" i="1"/>
  <c r="E1185" i="1"/>
  <c r="E1279" i="1"/>
  <c r="E263" i="1"/>
  <c r="E351" i="1"/>
  <c r="E424" i="1"/>
  <c r="E546" i="1"/>
  <c r="E729" i="1"/>
  <c r="E959" i="1"/>
  <c r="E1123" i="1"/>
  <c r="E1163" i="1"/>
  <c r="E1196" i="1"/>
  <c r="E1231" i="1"/>
  <c r="E1241" i="1"/>
  <c r="E1269" i="1"/>
  <c r="E715" i="1"/>
  <c r="E1046" i="1"/>
  <c r="E1059" i="1"/>
  <c r="E1071" i="1"/>
  <c r="E1112" i="1"/>
  <c r="E1139" i="1"/>
  <c r="E1151" i="1"/>
  <c r="E1252" i="1"/>
  <c r="E1260" i="1"/>
  <c r="E235" i="1"/>
  <c r="E264" i="1"/>
  <c r="E475" i="1"/>
  <c r="E505" i="1"/>
  <c r="E631" i="1"/>
  <c r="E702" i="1"/>
  <c r="E974" i="1"/>
  <c r="E986" i="1"/>
  <c r="E1023" i="1"/>
  <c r="E1100" i="1"/>
  <c r="E1165" i="1"/>
  <c r="E1176" i="1"/>
  <c r="E1232" i="1"/>
  <c r="E1242" i="1"/>
  <c r="E1270" i="1"/>
  <c r="E1291" i="1"/>
  <c r="E1310" i="1"/>
  <c r="E1331" i="1"/>
  <c r="E1350" i="1"/>
  <c r="E353" i="1"/>
  <c r="E618" i="1"/>
  <c r="E961" i="1"/>
  <c r="E1047" i="1"/>
  <c r="E1113" i="1"/>
  <c r="E1140" i="1"/>
  <c r="E1188" i="1"/>
  <c r="E1210" i="1"/>
  <c r="E1253" i="1"/>
  <c r="E1261" i="1"/>
  <c r="E1322" i="1"/>
  <c r="E1383" i="1"/>
  <c r="E1412" i="1"/>
  <c r="E1455" i="1"/>
  <c r="E252" i="1"/>
  <c r="E536" i="1"/>
  <c r="E549" i="1"/>
  <c r="E605" i="1"/>
  <c r="E975" i="1"/>
  <c r="E1013" i="1"/>
  <c r="E1101" i="1"/>
  <c r="E1126" i="1"/>
  <c r="E1166" i="1"/>
  <c r="E1199" i="1"/>
  <c r="E1223" i="1"/>
  <c r="E1233" i="1"/>
  <c r="E1243" i="1"/>
  <c r="E1271" i="1"/>
  <c r="E1301" i="1"/>
  <c r="E1342" i="1"/>
  <c r="E1351" i="1"/>
  <c r="E155" i="1"/>
  <c r="E578" i="1"/>
  <c r="E676" i="1"/>
  <c r="E1000" i="1"/>
  <c r="E1026" i="1"/>
  <c r="E1038" i="1"/>
  <c r="E1114" i="1"/>
  <c r="E1211" i="1"/>
  <c r="E1254" i="1"/>
  <c r="E1284" i="1"/>
  <c r="E1323" i="1"/>
  <c r="E1333" i="1"/>
  <c r="E1364" i="1"/>
  <c r="E1374" i="1"/>
  <c r="E1384" i="1"/>
  <c r="E1395" i="1"/>
  <c r="E223" i="1"/>
  <c r="E313" i="1"/>
  <c r="E385" i="1"/>
  <c r="E734" i="1"/>
  <c r="E1014" i="1"/>
  <c r="E1063" i="1"/>
  <c r="E1092" i="1"/>
  <c r="E1102" i="1"/>
  <c r="E1156" i="1"/>
  <c r="E1190" i="1"/>
  <c r="E1200" i="1"/>
  <c r="E1272" i="1"/>
  <c r="E1343" i="1"/>
  <c r="E1404" i="1"/>
  <c r="E1414" i="1"/>
  <c r="E607" i="1"/>
  <c r="E664" i="1"/>
  <c r="E990" i="1"/>
  <c r="E1001" i="1"/>
  <c r="E1027" i="1"/>
  <c r="E1050" i="1"/>
  <c r="E1078" i="1"/>
  <c r="E1212" i="1"/>
  <c r="E539" i="1"/>
  <c r="E651" i="1"/>
  <c r="E966" i="1"/>
  <c r="E1040" i="1"/>
  <c r="E1064" i="1"/>
  <c r="E1093" i="1"/>
  <c r="E1144" i="1"/>
  <c r="E1181" i="1"/>
  <c r="E1226" i="1"/>
  <c r="E1236" i="1"/>
  <c r="E1246" i="1"/>
  <c r="E1264" i="1"/>
  <c r="E1273" i="1"/>
  <c r="E315" i="1"/>
  <c r="E432" i="1"/>
  <c r="E596" i="1"/>
  <c r="E991" i="1"/>
  <c r="E1028" i="1"/>
  <c r="E1079" i="1"/>
  <c r="E1117" i="1"/>
  <c r="E1130" i="1"/>
  <c r="E1158" i="1"/>
  <c r="E1170" i="1"/>
  <c r="E1255" i="1"/>
  <c r="E303" i="1"/>
  <c r="E568" i="1"/>
  <c r="E638" i="1"/>
  <c r="E666" i="1"/>
  <c r="E955" i="1"/>
  <c r="E1094" i="1"/>
  <c r="E1105" i="1"/>
  <c r="E1145" i="1"/>
  <c r="E1182" i="1"/>
  <c r="E1193" i="1"/>
  <c r="E1227" i="1"/>
  <c r="E1237" i="1"/>
  <c r="E1265" i="1"/>
  <c r="E1274" i="1"/>
  <c r="E1326" i="1"/>
  <c r="E1346" i="1"/>
  <c r="E1367" i="1"/>
  <c r="E1387" i="1"/>
  <c r="E1416" i="1"/>
  <c r="E1428" i="1"/>
  <c r="E1459" i="1"/>
  <c r="E331" i="1"/>
  <c r="E405" i="1"/>
  <c r="E483" i="1"/>
  <c r="E513" i="1"/>
  <c r="E555" i="1"/>
  <c r="E710" i="1"/>
  <c r="E981" i="1"/>
  <c r="E1171" i="1"/>
  <c r="E1204" i="1"/>
  <c r="E1256" i="1"/>
  <c r="E1287" i="1"/>
  <c r="E1305" i="1"/>
  <c r="E1317" i="1"/>
  <c r="E1378" i="1"/>
  <c r="E1407" i="1"/>
  <c r="D1517" i="1"/>
  <c r="D1495" i="1"/>
  <c r="D1475" i="1"/>
  <c r="D1437" i="1"/>
  <c r="D1402" i="1"/>
  <c r="D1386" i="1"/>
  <c r="D1366" i="1"/>
  <c r="D1346" i="1"/>
  <c r="D1328" i="1"/>
  <c r="D1306" i="1"/>
  <c r="D1290" i="1"/>
  <c r="D1229" i="1"/>
  <c r="D1135" i="1"/>
  <c r="D712" i="1"/>
  <c r="D600" i="1"/>
  <c r="D485" i="1"/>
  <c r="D363" i="1"/>
  <c r="D246" i="1"/>
  <c r="D1484" i="1"/>
  <c r="D1536" i="1"/>
  <c r="D1526" i="1"/>
  <c r="D1506" i="1"/>
  <c r="D1435" i="1"/>
  <c r="D1419" i="1"/>
  <c r="D1345" i="1"/>
  <c r="D1326" i="1"/>
  <c r="D1289" i="1"/>
  <c r="D1134" i="1"/>
  <c r="D1031" i="1"/>
  <c r="D711" i="1"/>
  <c r="D599" i="1"/>
  <c r="D484" i="1"/>
  <c r="D362" i="1"/>
  <c r="D245" i="1"/>
  <c r="D1527" i="1"/>
  <c r="D1535" i="1"/>
  <c r="D1516" i="1"/>
  <c r="D1494" i="1"/>
  <c r="D1483" i="1"/>
  <c r="D1474" i="1"/>
  <c r="D1463" i="1"/>
  <c r="D1418" i="1"/>
  <c r="D1401" i="1"/>
  <c r="D1382" i="1"/>
  <c r="D1344" i="1"/>
  <c r="D1304" i="1"/>
  <c r="D1288" i="1"/>
  <c r="D1219" i="1"/>
  <c r="D1121" i="1"/>
  <c r="E1020" i="1"/>
  <c r="D698" i="1"/>
  <c r="D586" i="1"/>
  <c r="D472" i="1"/>
  <c r="D349" i="1"/>
  <c r="D231" i="1"/>
  <c r="D1534" i="1"/>
  <c r="D1525" i="1"/>
  <c r="D1505" i="1"/>
  <c r="D1493" i="1"/>
  <c r="D1462" i="1"/>
  <c r="D1449" i="1"/>
  <c r="D1416" i="1"/>
  <c r="D1400" i="1"/>
  <c r="D1381" i="1"/>
  <c r="D1362" i="1"/>
  <c r="D1340" i="1"/>
  <c r="D1325" i="1"/>
  <c r="D1218" i="1"/>
  <c r="D1120" i="1"/>
  <c r="D1020" i="1"/>
  <c r="E697" i="1"/>
  <c r="D585" i="1"/>
  <c r="D471" i="1"/>
  <c r="D348" i="1"/>
  <c r="D230" i="1"/>
  <c r="D1541" i="1"/>
  <c r="D1482" i="1"/>
  <c r="D1473" i="1"/>
  <c r="D1432" i="1"/>
  <c r="D1360" i="1"/>
  <c r="D1286" i="1"/>
  <c r="D1109" i="1"/>
  <c r="D1007" i="1"/>
  <c r="D684" i="1"/>
  <c r="D571" i="1"/>
  <c r="D456" i="1"/>
  <c r="D333" i="1"/>
  <c r="D216" i="1"/>
  <c r="D1533" i="1"/>
  <c r="D1524" i="1"/>
  <c r="D1514" i="1"/>
  <c r="D1503" i="1"/>
  <c r="D1492" i="1"/>
  <c r="D1472" i="1"/>
  <c r="D1461" i="1"/>
  <c r="D1415" i="1"/>
  <c r="D1379" i="1"/>
  <c r="D1359" i="1"/>
  <c r="D1339" i="1"/>
  <c r="D1321" i="1"/>
  <c r="D1205" i="1"/>
  <c r="D1108" i="1"/>
  <c r="D1006" i="1"/>
  <c r="D683" i="1"/>
  <c r="D570" i="1"/>
  <c r="D453" i="1"/>
  <c r="D332" i="1"/>
  <c r="D215" i="1"/>
  <c r="D1513" i="1"/>
  <c r="D1491" i="1"/>
  <c r="D1481" i="1"/>
  <c r="D1447" i="1"/>
  <c r="D1431" i="1"/>
  <c r="D1413" i="1"/>
  <c r="D1397" i="1"/>
  <c r="D1377" i="1"/>
  <c r="D1358" i="1"/>
  <c r="D1338" i="1"/>
  <c r="D1300" i="1"/>
  <c r="D1278" i="1"/>
  <c r="D1195" i="1"/>
  <c r="D1097" i="1"/>
  <c r="D994" i="1"/>
  <c r="D669" i="1"/>
  <c r="E556" i="1"/>
  <c r="D436" i="1"/>
  <c r="D319" i="1"/>
  <c r="D197" i="1"/>
  <c r="D1504" i="1"/>
  <c r="D1532" i="1"/>
  <c r="D1523" i="1"/>
  <c r="D1502" i="1"/>
  <c r="D1471" i="1"/>
  <c r="D1459" i="1"/>
  <c r="D1376" i="1"/>
  <c r="D1337" i="1"/>
  <c r="D1319" i="1"/>
  <c r="E1299" i="1"/>
  <c r="D1276" i="1"/>
  <c r="E1194" i="1"/>
  <c r="E1095" i="1"/>
  <c r="E993" i="1"/>
  <c r="D668" i="1"/>
  <c r="D556" i="1"/>
  <c r="D435" i="1"/>
  <c r="D318" i="1"/>
  <c r="D195" i="1"/>
  <c r="D1522" i="1"/>
  <c r="D1501" i="1"/>
  <c r="D1480" i="1"/>
  <c r="D1444" i="1"/>
  <c r="D1430" i="1"/>
  <c r="D1411" i="1"/>
  <c r="D1355" i="1"/>
  <c r="D1318" i="1"/>
  <c r="D1298" i="1"/>
  <c r="E1267" i="1"/>
  <c r="E1184" i="1"/>
  <c r="D1083" i="1"/>
  <c r="E982" i="1"/>
  <c r="D656" i="1"/>
  <c r="D544" i="1"/>
  <c r="D423" i="1"/>
  <c r="E305" i="1"/>
  <c r="D173" i="1"/>
  <c r="D1515" i="1"/>
  <c r="D1531" i="1"/>
  <c r="D1521" i="1"/>
  <c r="D1512" i="1"/>
  <c r="D1490" i="1"/>
  <c r="D1479" i="1"/>
  <c r="D1470" i="1"/>
  <c r="D1458" i="1"/>
  <c r="D1428" i="1"/>
  <c r="D1410" i="1"/>
  <c r="D1392" i="1"/>
  <c r="D1371" i="1"/>
  <c r="D1354" i="1"/>
  <c r="E1316" i="1"/>
  <c r="D1297" i="1"/>
  <c r="D1267" i="1"/>
  <c r="D1184" i="1"/>
  <c r="D1082" i="1"/>
  <c r="D982" i="1"/>
  <c r="D655" i="1"/>
  <c r="D543" i="1"/>
  <c r="D422" i="1"/>
  <c r="D305" i="1"/>
  <c r="D172" i="1"/>
  <c r="D1530" i="1"/>
  <c r="D1500" i="1"/>
  <c r="D1489" i="1"/>
  <c r="D1443" i="1"/>
  <c r="D1427" i="1"/>
  <c r="D1350" i="1"/>
  <c r="D1335" i="1"/>
  <c r="D1316" i="1"/>
  <c r="E1296" i="1"/>
  <c r="E1257" i="1"/>
  <c r="D1173" i="1"/>
  <c r="D1069" i="1"/>
  <c r="D970" i="1"/>
  <c r="D641" i="1"/>
  <c r="D530" i="1"/>
  <c r="D407" i="1"/>
  <c r="D291" i="1"/>
  <c r="E120" i="1"/>
  <c r="D1520" i="1"/>
  <c r="D1488" i="1"/>
  <c r="D1478" i="1"/>
  <c r="D1469" i="1"/>
  <c r="D1456" i="1"/>
  <c r="D1408" i="1"/>
  <c r="D1389" i="1"/>
  <c r="D1370" i="1"/>
  <c r="D1315" i="1"/>
  <c r="D1296" i="1"/>
  <c r="D1257" i="1"/>
  <c r="D1172" i="1"/>
  <c r="D1068" i="1"/>
  <c r="E969" i="1"/>
  <c r="D640" i="1"/>
  <c r="D529" i="1"/>
  <c r="D406" i="1"/>
  <c r="D290" i="1"/>
  <c r="D120" i="1"/>
  <c r="D1529" i="1"/>
  <c r="D1511" i="1"/>
  <c r="D1487" i="1"/>
  <c r="D1468" i="1"/>
  <c r="D1454" i="1"/>
  <c r="D1442" i="1"/>
  <c r="D1425" i="1"/>
  <c r="D1388" i="1"/>
  <c r="D1349" i="1"/>
  <c r="D1331" i="1"/>
  <c r="D1310" i="1"/>
  <c r="D1250" i="1"/>
  <c r="D1162" i="1"/>
  <c r="D1056" i="1"/>
  <c r="E957" i="1"/>
  <c r="D627" i="1"/>
  <c r="E514" i="1"/>
  <c r="D392" i="1"/>
  <c r="D275" i="1"/>
  <c r="D1499" i="1"/>
  <c r="D1542" i="1"/>
  <c r="D1519" i="1"/>
  <c r="D1509" i="1"/>
  <c r="D1467" i="1"/>
  <c r="D1453" i="1"/>
  <c r="D1441" i="1"/>
  <c r="D1406" i="1"/>
  <c r="E1330" i="1"/>
  <c r="D1309" i="1"/>
  <c r="E1249" i="1"/>
  <c r="D1161" i="1"/>
  <c r="D1055" i="1"/>
  <c r="D957" i="1"/>
  <c r="E626" i="1"/>
  <c r="D514" i="1"/>
  <c r="D391" i="1"/>
  <c r="D274" i="1"/>
  <c r="C1418" i="1"/>
  <c r="C1408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248" i="1"/>
  <c r="D184" i="1"/>
  <c r="D169" i="1"/>
  <c r="D153" i="1"/>
  <c r="D132" i="1"/>
  <c r="D111" i="1"/>
  <c r="D85" i="1"/>
  <c r="D42" i="1"/>
  <c r="C1542" i="1"/>
  <c r="E183" i="1"/>
  <c r="D168" i="1"/>
  <c r="D151" i="1"/>
  <c r="D131" i="1"/>
  <c r="D110" i="1"/>
  <c r="D84" i="1"/>
  <c r="D41" i="1"/>
  <c r="C1528" i="1"/>
  <c r="C1387" i="1"/>
  <c r="D40" i="1"/>
  <c r="C1478" i="1"/>
  <c r="C1356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523" i="1"/>
  <c r="B1525" i="1"/>
  <c r="B1521" i="1"/>
  <c r="B1522" i="1"/>
  <c r="B1516" i="1"/>
  <c r="B1468" i="1"/>
  <c r="B1461" i="1"/>
  <c r="B1455" i="1"/>
  <c r="B1409" i="1"/>
  <c r="B1398" i="1"/>
  <c r="B1392" i="1"/>
  <c r="B1385" i="1"/>
  <c r="B1379" i="1"/>
  <c r="B1372" i="1"/>
  <c r="B1366" i="1"/>
  <c r="B1339" i="1"/>
  <c r="B1333" i="1"/>
  <c r="B1290" i="1"/>
  <c r="B1260" i="1"/>
  <c r="B1241" i="1"/>
  <c r="B1233" i="1"/>
  <c r="B1181" i="1"/>
  <c r="B1172" i="1"/>
  <c r="B1156" i="1"/>
  <c r="B1146" i="1"/>
  <c r="B1138" i="1"/>
  <c r="B1120" i="1"/>
  <c r="B1102" i="1"/>
  <c r="B1094" i="1"/>
  <c r="B1073" i="1"/>
  <c r="B1055" i="1"/>
  <c r="B1030" i="1"/>
  <c r="B977" i="1"/>
  <c r="B969" i="1"/>
  <c r="B959" i="1"/>
  <c r="B731" i="1"/>
  <c r="B609" i="1"/>
  <c r="B536" i="1"/>
  <c r="B523" i="1"/>
  <c r="B451" i="1"/>
  <c r="B361" i="1"/>
  <c r="B245" i="1"/>
  <c r="B189" i="1"/>
  <c r="B1528" i="1"/>
  <c r="B1508" i="1"/>
  <c r="B1501" i="1"/>
  <c r="B1493" i="1"/>
  <c r="B1480" i="1"/>
  <c r="B1474" i="1"/>
  <c r="B1441" i="1"/>
  <c r="B1434" i="1"/>
  <c r="B1428" i="1"/>
  <c r="B1421" i="1"/>
  <c r="B1415" i="1"/>
  <c r="B1358" i="1"/>
  <c r="B1351" i="1"/>
  <c r="B1345" i="1"/>
  <c r="B1304" i="1"/>
  <c r="B1282" i="1"/>
  <c r="B1273" i="1"/>
  <c r="B1254" i="1"/>
  <c r="B1247" i="1"/>
  <c r="B1226" i="1"/>
  <c r="B1211" i="1"/>
  <c r="B1195" i="1"/>
  <c r="B1187" i="1"/>
  <c r="B1127" i="1"/>
  <c r="B1083" i="1"/>
  <c r="B1064" i="1"/>
  <c r="B1038" i="1"/>
  <c r="B986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533" i="1"/>
  <c r="B1486" i="1"/>
  <c r="B1467" i="1"/>
  <c r="B1454" i="1"/>
  <c r="B1448" i="1"/>
  <c r="B1371" i="1"/>
  <c r="B1365" i="1"/>
  <c r="B1332" i="1"/>
  <c r="B1326" i="1"/>
  <c r="B1311" i="1"/>
  <c r="B1219" i="1"/>
  <c r="B1163" i="1"/>
  <c r="B1153" i="1"/>
  <c r="B1137" i="1"/>
  <c r="B1072" i="1"/>
  <c r="B1054" i="1"/>
  <c r="B1029" i="1"/>
  <c r="B1012" i="1"/>
  <c r="B730" i="1"/>
  <c r="B712" i="1"/>
  <c r="B626" i="1"/>
  <c r="B434" i="1"/>
  <c r="B1515" i="1"/>
  <c r="B1507" i="1"/>
  <c r="B1479" i="1"/>
  <c r="B1460" i="1"/>
  <c r="B1440" i="1"/>
  <c r="B1433" i="1"/>
  <c r="B1427" i="1"/>
  <c r="B1403" i="1"/>
  <c r="B1397" i="1"/>
  <c r="B1390" i="1"/>
  <c r="B1384" i="1"/>
  <c r="B1378" i="1"/>
  <c r="B1357" i="1"/>
  <c r="B1344" i="1"/>
  <c r="B1338" i="1"/>
  <c r="B1319" i="1"/>
  <c r="B1289" i="1"/>
  <c r="B1265" i="1"/>
  <c r="B1258" i="1"/>
  <c r="B1225" i="1"/>
  <c r="B1201" i="1"/>
  <c r="B1186" i="1"/>
  <c r="B1171" i="1"/>
  <c r="B1145" i="1"/>
  <c r="B1118" i="1"/>
  <c r="B1101" i="1"/>
  <c r="B1082" i="1"/>
  <c r="B1037" i="1"/>
  <c r="B967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527" i="1"/>
  <c r="B1500" i="1"/>
  <c r="B1492" i="1"/>
  <c r="B1485" i="1"/>
  <c r="B1473" i="1"/>
  <c r="B1453" i="1"/>
  <c r="B1420" i="1"/>
  <c r="B1414" i="1"/>
  <c r="B1408" i="1"/>
  <c r="B1350" i="1"/>
  <c r="B1280" i="1"/>
  <c r="B1272" i="1"/>
  <c r="B1246" i="1"/>
  <c r="B1210" i="1"/>
  <c r="B1178" i="1"/>
  <c r="B1152" i="1"/>
  <c r="B1135" i="1"/>
  <c r="B1053" i="1"/>
  <c r="B1020" i="1"/>
  <c r="B975" i="1"/>
  <c r="B711" i="1"/>
  <c r="B652" i="1"/>
  <c r="B607" i="1"/>
  <c r="B597" i="1"/>
  <c r="B370" i="1"/>
  <c r="B332" i="1"/>
  <c r="B320" i="1"/>
  <c r="B296" i="1"/>
  <c r="B228" i="1"/>
  <c r="B99" i="1"/>
  <c r="B1542" i="1"/>
  <c r="B1532" i="1"/>
  <c r="B1520" i="1"/>
  <c r="B1514" i="1"/>
  <c r="B1465" i="1"/>
  <c r="B1447" i="1"/>
  <c r="B1439" i="1"/>
  <c r="B1402" i="1"/>
  <c r="B1389" i="1"/>
  <c r="B1377" i="1"/>
  <c r="B1370" i="1"/>
  <c r="B1364" i="1"/>
  <c r="B1356" i="1"/>
  <c r="B1337" i="1"/>
  <c r="B1331" i="1"/>
  <c r="B1325" i="1"/>
  <c r="B1318" i="1"/>
  <c r="B1310" i="1"/>
  <c r="B1288" i="1"/>
  <c r="B1238" i="1"/>
  <c r="B1231" i="1"/>
  <c r="B1217" i="1"/>
  <c r="B1125" i="1"/>
  <c r="B1108" i="1"/>
  <c r="B1071" i="1"/>
  <c r="B1036" i="1"/>
  <c r="B1010" i="1"/>
  <c r="B992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432" i="1"/>
  <c r="B1426" i="1"/>
  <c r="B1419" i="1"/>
  <c r="B1413" i="1"/>
  <c r="B1396" i="1"/>
  <c r="B1383" i="1"/>
  <c r="B1343" i="1"/>
  <c r="B1264" i="1"/>
  <c r="B1257" i="1"/>
  <c r="B1245" i="1"/>
  <c r="B1209" i="1"/>
  <c r="B1200" i="1"/>
  <c r="B1185" i="1"/>
  <c r="B1170" i="1"/>
  <c r="B1134" i="1"/>
  <c r="B1117" i="1"/>
  <c r="B1091" i="1"/>
  <c r="B1080" i="1"/>
  <c r="B1061" i="1"/>
  <c r="B1052" i="1"/>
  <c r="B1000" i="1"/>
  <c r="B691" i="1"/>
  <c r="B671" i="1"/>
  <c r="B661" i="1"/>
  <c r="B615" i="1"/>
  <c r="B509" i="1"/>
  <c r="B369" i="1"/>
  <c r="B1271" i="1"/>
  <c r="B1251" i="1"/>
  <c r="B1230" i="1"/>
  <c r="B1223" i="1"/>
  <c r="B1216" i="1"/>
  <c r="B1192" i="1"/>
  <c r="B1160" i="1"/>
  <c r="B1143" i="1"/>
  <c r="B1124" i="1"/>
  <c r="B1106" i="1"/>
  <c r="B1044" i="1"/>
  <c r="B1027" i="1"/>
  <c r="B982" i="1"/>
  <c r="B974" i="1"/>
  <c r="B964" i="1"/>
  <c r="B710" i="1"/>
  <c r="B681" i="1"/>
  <c r="B623" i="1"/>
  <c r="B4" i="1"/>
  <c r="B1531" i="1"/>
  <c r="B1519" i="1"/>
  <c r="B1505" i="1"/>
  <c r="B1483" i="1"/>
  <c r="B1471" i="1"/>
  <c r="B1464" i="1"/>
  <c r="B1458" i="1"/>
  <c r="B1438" i="1"/>
  <c r="B1425" i="1"/>
  <c r="B1401" i="1"/>
  <c r="B1355" i="1"/>
  <c r="B1330" i="1"/>
  <c r="B1278" i="1"/>
  <c r="B1237" i="1"/>
  <c r="B1176" i="1"/>
  <c r="B1169" i="1"/>
  <c r="B1133" i="1"/>
  <c r="B1116" i="1"/>
  <c r="B1051" i="1"/>
  <c r="B1034" i="1"/>
  <c r="B1017" i="1"/>
  <c r="B999" i="1"/>
  <c r="B991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90" i="1"/>
  <c r="B1444" i="1"/>
  <c r="B1431" i="1"/>
  <c r="B1418" i="1"/>
  <c r="B1412" i="1"/>
  <c r="B1406" i="1"/>
  <c r="B1395" i="1"/>
  <c r="B1382" i="1"/>
  <c r="B1375" i="1"/>
  <c r="B1348" i="1"/>
  <c r="B1342" i="1"/>
  <c r="B1323" i="1"/>
  <c r="B1293" i="1"/>
  <c r="B1256" i="1"/>
  <c r="B1229" i="1"/>
  <c r="B1222" i="1"/>
  <c r="B1215" i="1"/>
  <c r="B1199" i="1"/>
  <c r="B1191" i="1"/>
  <c r="B1184" i="1"/>
  <c r="B1151" i="1"/>
  <c r="B1142" i="1"/>
  <c r="B1088" i="1"/>
  <c r="B1043" i="1"/>
  <c r="B1007" i="1"/>
  <c r="B963" i="1"/>
  <c r="B717" i="1"/>
  <c r="B622" i="1"/>
  <c r="B604" i="1"/>
  <c r="B594" i="1"/>
  <c r="B551" i="1"/>
  <c r="B529" i="1"/>
  <c r="B458" i="1"/>
  <c r="B341" i="1"/>
  <c r="B1504" i="1"/>
  <c r="B1497" i="1"/>
  <c r="B1477" i="1"/>
  <c r="B1457" i="1"/>
  <c r="B1451" i="1"/>
  <c r="B1437" i="1"/>
  <c r="B1368" i="1"/>
  <c r="B1362" i="1"/>
  <c r="B1354" i="1"/>
  <c r="B1335" i="1"/>
  <c r="B1300" i="1"/>
  <c r="B1276" i="1"/>
  <c r="B1262" i="1"/>
  <c r="B1250" i="1"/>
  <c r="B1243" i="1"/>
  <c r="B1206" i="1"/>
  <c r="B1175" i="1"/>
  <c r="B1131" i="1"/>
  <c r="B1123" i="1"/>
  <c r="B1105" i="1"/>
  <c r="B1097" i="1"/>
  <c r="B1059" i="1"/>
  <c r="B1026" i="1"/>
  <c r="B1016" i="1"/>
  <c r="B981" i="1"/>
  <c r="B708" i="1"/>
  <c r="B688" i="1"/>
  <c r="B630" i="1"/>
  <c r="B571" i="1"/>
  <c r="B507" i="1"/>
  <c r="B496" i="1"/>
  <c r="B441" i="1"/>
  <c r="B390" i="1"/>
  <c r="B328" i="1"/>
  <c r="B236" i="1"/>
  <c r="B1536" i="1"/>
  <c r="B1524" i="1"/>
  <c r="B1489" i="1"/>
  <c r="B1482" i="1"/>
  <c r="B1470" i="1"/>
  <c r="B1463" i="1"/>
  <c r="B1424" i="1"/>
  <c r="B1417" i="1"/>
  <c r="B1405" i="1"/>
  <c r="B1400" i="1"/>
  <c r="B1394" i="1"/>
  <c r="B1387" i="1"/>
  <c r="B1381" i="1"/>
  <c r="B1341" i="1"/>
  <c r="B1329" i="1"/>
  <c r="B1315" i="1"/>
  <c r="B1306" i="1"/>
  <c r="B1292" i="1"/>
  <c r="B1213" i="1"/>
  <c r="B1167" i="1"/>
  <c r="B1158" i="1"/>
  <c r="B1050" i="1"/>
  <c r="B1032" i="1"/>
  <c r="B1006" i="1"/>
  <c r="B997" i="1"/>
  <c r="B971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95" i="1"/>
  <c r="B1476" i="1"/>
  <c r="B1450" i="1"/>
  <c r="B1443" i="1"/>
  <c r="B1436" i="1"/>
  <c r="B1430" i="1"/>
  <c r="B1411" i="1"/>
  <c r="B1374" i="1"/>
  <c r="B1360" i="1"/>
  <c r="B1353" i="1"/>
  <c r="B1347" i="1"/>
  <c r="B1322" i="1"/>
  <c r="B1275" i="1"/>
  <c r="B1269" i="1"/>
  <c r="B1190" i="1"/>
  <c r="B1122" i="1"/>
  <c r="B1076" i="1"/>
  <c r="B1066" i="1"/>
  <c r="B1015" i="1"/>
  <c r="B980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535" i="1"/>
  <c r="B1529" i="1"/>
  <c r="B1517" i="1"/>
  <c r="B1511" i="1"/>
  <c r="B1488" i="1"/>
  <c r="B1462" i="1"/>
  <c r="B1456" i="1"/>
  <c r="B1423" i="1"/>
  <c r="B1393" i="1"/>
  <c r="B1380" i="1"/>
  <c r="B1367" i="1"/>
  <c r="B1340" i="1"/>
  <c r="B1334" i="1"/>
  <c r="B1328" i="1"/>
  <c r="B1314" i="1"/>
  <c r="B1261" i="1"/>
  <c r="B1249" i="1"/>
  <c r="B1242" i="1"/>
  <c r="B1234" i="1"/>
  <c r="B1205" i="1"/>
  <c r="B1182" i="1"/>
  <c r="B1157" i="1"/>
  <c r="B1130" i="1"/>
  <c r="B1103" i="1"/>
  <c r="B1095" i="1"/>
  <c r="B1085" i="1"/>
  <c r="B1057" i="1"/>
  <c r="B1049" i="1"/>
  <c r="B1005" i="1"/>
  <c r="B996" i="1"/>
  <c r="B970" i="1"/>
  <c r="B733" i="1"/>
  <c r="B724" i="1"/>
  <c r="B647" i="1"/>
  <c r="B549" i="1"/>
  <c r="B481" i="1"/>
  <c r="B273" i="1"/>
  <c r="B164" i="1"/>
  <c r="B130" i="1"/>
  <c r="D136" i="1"/>
  <c r="B1481" i="1"/>
  <c r="B1475" i="1"/>
  <c r="B1469" i="1"/>
  <c r="B1435" i="1"/>
  <c r="B1429" i="1"/>
  <c r="B1416" i="1"/>
  <c r="B1410" i="1"/>
  <c r="B1404" i="1"/>
  <c r="B1399" i="1"/>
  <c r="B1386" i="1"/>
  <c r="B1373" i="1"/>
  <c r="B1305" i="1"/>
  <c r="B1284" i="1"/>
  <c r="B1227" i="1"/>
  <c r="B1212" i="1"/>
  <c r="B1196" i="1"/>
  <c r="B1173" i="1"/>
  <c r="B1147" i="1"/>
  <c r="B1121" i="1"/>
  <c r="B1113" i="1"/>
  <c r="B1074" i="1"/>
  <c r="B1065" i="1"/>
  <c r="B1031" i="1"/>
  <c r="B987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534" i="1"/>
  <c r="B1509" i="1"/>
  <c r="B1502" i="1"/>
  <c r="B1494" i="1"/>
  <c r="B1487" i="1"/>
  <c r="B1449" i="1"/>
  <c r="B1442" i="1"/>
  <c r="B1422" i="1"/>
  <c r="B1359" i="1"/>
  <c r="B1346" i="1"/>
  <c r="B1327" i="1"/>
  <c r="B1321" i="1"/>
  <c r="B1313" i="1"/>
  <c r="B1297" i="1"/>
  <c r="B1220" i="1"/>
  <c r="B1084" i="1"/>
  <c r="B1022" i="1"/>
  <c r="B1004" i="1"/>
  <c r="B995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218" i="1"/>
  <c r="D64" i="1"/>
  <c r="D52" i="1"/>
  <c r="D37" i="1"/>
  <c r="D14" i="1"/>
  <c r="C1382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93" i="1"/>
  <c r="C396" i="1"/>
  <c r="D103" i="1"/>
  <c r="D90" i="1"/>
  <c r="D76" i="1"/>
  <c r="E61" i="1"/>
  <c r="D48" i="1"/>
  <c r="D30" i="1"/>
  <c r="E10" i="1"/>
  <c r="C1322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242" i="1"/>
  <c r="C1016" i="1"/>
  <c r="D156" i="1"/>
  <c r="D141" i="1"/>
  <c r="D128" i="1"/>
  <c r="D114" i="1"/>
  <c r="D100" i="1"/>
  <c r="B87" i="1"/>
  <c r="D72" i="1"/>
  <c r="D58" i="1"/>
  <c r="D43" i="1"/>
  <c r="D26" i="1"/>
  <c r="D7" i="1"/>
  <c r="C1413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1015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60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506" i="1"/>
  <c r="C1353" i="1"/>
  <c r="C1000" i="1"/>
  <c r="C1456" i="1"/>
  <c r="C1365" i="1"/>
  <c r="C1247" i="1"/>
  <c r="C637" i="1"/>
  <c r="C570" i="1"/>
  <c r="C1482" i="1"/>
  <c r="C1253" i="1"/>
  <c r="C1119" i="1"/>
  <c r="C677" i="1"/>
  <c r="C352" i="1"/>
  <c r="C1392" i="1"/>
  <c r="C1275" i="1"/>
  <c r="C1521" i="1"/>
  <c r="C1282" i="1"/>
  <c r="C425" i="1"/>
  <c r="C273" i="1"/>
  <c r="C1526" i="1"/>
  <c r="C1438" i="1"/>
  <c r="C1141" i="1"/>
  <c r="C643" i="1"/>
  <c r="C1200" i="1"/>
  <c r="C493" i="1"/>
  <c r="C225" i="1"/>
  <c r="C1421" i="1"/>
  <c r="C1379" i="1"/>
  <c r="C585" i="1"/>
  <c r="C1470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57" i="1"/>
  <c r="C961" i="1"/>
  <c r="C966" i="1"/>
  <c r="C970" i="1"/>
  <c r="C974" i="1"/>
  <c r="C978" i="1"/>
  <c r="C982" i="1"/>
  <c r="C986" i="1"/>
  <c r="C990" i="1"/>
  <c r="C994" i="1"/>
  <c r="C998" i="1"/>
  <c r="C1002" i="1"/>
  <c r="C1006" i="1"/>
  <c r="C1011" i="1"/>
  <c r="C1015" i="1"/>
  <c r="C1019" i="1"/>
  <c r="C1023" i="1"/>
  <c r="C1028" i="1"/>
  <c r="C1032" i="1"/>
  <c r="C1036" i="1"/>
  <c r="C1040" i="1"/>
  <c r="C1044" i="1"/>
  <c r="C1048" i="1"/>
  <c r="C1052" i="1"/>
  <c r="C1056" i="1"/>
  <c r="C1061" i="1"/>
  <c r="C1065" i="1"/>
  <c r="C1069" i="1"/>
  <c r="C1073" i="1"/>
  <c r="C1079" i="1"/>
  <c r="C1083" i="1"/>
  <c r="C1087" i="1"/>
  <c r="C1092" i="1"/>
  <c r="C1097" i="1"/>
  <c r="C1101" i="1"/>
  <c r="C1105" i="1"/>
  <c r="C1110" i="1"/>
  <c r="C1114" i="1"/>
  <c r="C1118" i="1"/>
  <c r="C1122" i="1"/>
  <c r="C1126" i="1"/>
  <c r="C1130" i="1"/>
  <c r="C1135" i="1"/>
  <c r="C1140" i="1"/>
  <c r="C1144" i="1"/>
  <c r="C1148" i="1"/>
  <c r="C1157" i="1"/>
  <c r="C1161" i="1"/>
  <c r="C1166" i="1"/>
  <c r="C1170" i="1"/>
  <c r="C1174" i="1"/>
  <c r="C1178" i="1"/>
  <c r="C1182" i="1"/>
  <c r="C1186" i="1"/>
  <c r="C1190" i="1"/>
  <c r="C1194" i="1"/>
  <c r="C1198" i="1"/>
  <c r="C1202" i="1"/>
  <c r="C1206" i="1"/>
  <c r="C1210" i="1"/>
  <c r="C1215" i="1"/>
  <c r="C1219" i="1"/>
  <c r="C1222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62" i="1"/>
  <c r="C980" i="1"/>
  <c r="C997" i="1"/>
  <c r="C1029" i="1"/>
  <c r="C1046" i="1"/>
  <c r="C1064" i="1"/>
  <c r="C1098" i="1"/>
  <c r="C1116" i="1"/>
  <c r="C1134" i="1"/>
  <c r="C1167" i="1"/>
  <c r="C1184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72" i="1"/>
  <c r="C989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59" i="1"/>
  <c r="C977" i="1"/>
  <c r="C1007" i="1"/>
  <c r="C1026" i="1"/>
  <c r="C1043" i="1"/>
  <c r="C1074" i="1"/>
  <c r="C1094" i="1"/>
  <c r="C1113" i="1"/>
  <c r="C1145" i="1"/>
  <c r="C1163" i="1"/>
  <c r="C1181" i="1"/>
  <c r="C1211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73" i="1"/>
  <c r="C1022" i="1"/>
  <c r="C1037" i="1"/>
  <c r="C1042" i="1"/>
  <c r="C1051" i="1"/>
  <c r="C1071" i="1"/>
  <c r="C1093" i="1"/>
  <c r="C1103" i="1"/>
  <c r="C1109" i="1"/>
  <c r="C1123" i="1"/>
  <c r="C1139" i="1"/>
  <c r="C1152" i="1"/>
  <c r="C1159" i="1"/>
  <c r="C1188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68" i="1"/>
  <c r="C983" i="1"/>
  <c r="C993" i="1"/>
  <c r="C1013" i="1"/>
  <c r="C1047" i="1"/>
  <c r="C1062" i="1"/>
  <c r="C1078" i="1"/>
  <c r="C1099" i="1"/>
  <c r="C1128" i="1"/>
  <c r="C1149" i="1"/>
  <c r="C1165" i="1"/>
  <c r="C1179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69" i="1"/>
  <c r="C979" i="1"/>
  <c r="C999" i="1"/>
  <c r="C1072" i="1"/>
  <c r="C1115" i="1"/>
  <c r="C1124" i="1"/>
  <c r="C1129" i="1"/>
  <c r="C1160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1050" i="1"/>
  <c r="C1172" i="1"/>
  <c r="C1212" i="1"/>
  <c r="C1226" i="1"/>
  <c r="C1243" i="1"/>
  <c r="C1255" i="1"/>
  <c r="C1271" i="1"/>
  <c r="C1289" i="1"/>
  <c r="C1306" i="1"/>
  <c r="C1320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55" i="1"/>
  <c r="C960" i="1"/>
  <c r="C1001" i="1"/>
  <c r="C1018" i="1"/>
  <c r="C1045" i="1"/>
  <c r="C1068" i="1"/>
  <c r="C1183" i="1"/>
  <c r="C1193" i="1"/>
  <c r="C1203" i="1"/>
  <c r="C1239" i="1"/>
  <c r="C1252" i="1"/>
  <c r="C1267" i="1"/>
  <c r="C1285" i="1"/>
  <c r="C1302" i="1"/>
  <c r="C1316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67" i="1"/>
  <c r="C991" i="1"/>
  <c r="C1014" i="1"/>
  <c r="C1057" i="1"/>
  <c r="C1127" i="1"/>
  <c r="C1162" i="1"/>
  <c r="C1199" i="1"/>
  <c r="C1213" i="1"/>
  <c r="C1227" i="1"/>
  <c r="C1240" i="1"/>
  <c r="C1256" i="1"/>
  <c r="C1272" i="1"/>
  <c r="C1290" i="1"/>
  <c r="C1303" i="1"/>
  <c r="C1321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1035" i="1"/>
  <c r="C1095" i="1"/>
  <c r="C1102" i="1"/>
  <c r="C1121" i="1"/>
  <c r="C1173" i="1"/>
  <c r="C1185" i="1"/>
  <c r="C1196" i="1"/>
  <c r="C1208" i="1"/>
  <c r="C1249" i="1"/>
  <c r="C1254" i="1"/>
  <c r="C1297" i="1"/>
  <c r="C1323" i="1"/>
  <c r="C1336" i="1"/>
  <c r="C1349" i="1"/>
  <c r="C1367" i="1"/>
  <c r="C1384" i="1"/>
  <c r="C1402" i="1"/>
  <c r="C1414" i="1"/>
  <c r="C1431" i="1"/>
  <c r="C1449" i="1"/>
  <c r="C1467" i="1"/>
  <c r="C1480" i="1"/>
  <c r="C1499" i="1"/>
  <c r="C1517" i="1"/>
  <c r="C1534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84" i="1"/>
  <c r="C1004" i="1"/>
  <c r="C1067" i="1"/>
  <c r="C1082" i="1"/>
  <c r="C1168" i="1"/>
  <c r="C1191" i="1"/>
  <c r="C1220" i="1"/>
  <c r="C1234" i="1"/>
  <c r="C1258" i="1"/>
  <c r="C1283" i="1"/>
  <c r="C1288" i="1"/>
  <c r="C1332" i="1"/>
  <c r="C1345" i="1"/>
  <c r="C1363" i="1"/>
  <c r="C1380" i="1"/>
  <c r="C1398" i="1"/>
  <c r="C1410" i="1"/>
  <c r="C1427" i="1"/>
  <c r="C1444" i="1"/>
  <c r="C1462" i="1"/>
  <c r="C1476" i="1"/>
  <c r="C1493" i="1"/>
  <c r="C1513" i="1"/>
  <c r="C1530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71" i="1"/>
  <c r="C1017" i="1"/>
  <c r="C1030" i="1"/>
  <c r="C1054" i="1"/>
  <c r="C1090" i="1"/>
  <c r="C1142" i="1"/>
  <c r="C1147" i="1"/>
  <c r="C1180" i="1"/>
  <c r="C1225" i="1"/>
  <c r="C1278" i="1"/>
  <c r="C1293" i="1"/>
  <c r="C1298" i="1"/>
  <c r="C1309" i="1"/>
  <c r="C1328" i="1"/>
  <c r="C1341" i="1"/>
  <c r="C1358" i="1"/>
  <c r="C1376" i="1"/>
  <c r="C1394" i="1"/>
  <c r="C1406" i="1"/>
  <c r="C1423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58" i="1"/>
  <c r="C964" i="1"/>
  <c r="C985" i="1"/>
  <c r="C1025" i="1"/>
  <c r="C1049" i="1"/>
  <c r="C1197" i="1"/>
  <c r="C1209" i="1"/>
  <c r="C1230" i="1"/>
  <c r="C1235" i="1"/>
  <c r="C1245" i="1"/>
  <c r="C1268" i="1"/>
  <c r="C1314" i="1"/>
  <c r="C1319" i="1"/>
  <c r="C1324" i="1"/>
  <c r="C1337" i="1"/>
  <c r="C1354" i="1"/>
  <c r="C1372" i="1"/>
  <c r="C1389" i="1"/>
  <c r="C1403" i="1"/>
  <c r="C1419" i="1"/>
  <c r="C1436" i="1"/>
  <c r="C1454" i="1"/>
  <c r="C1468" i="1"/>
  <c r="C1485" i="1"/>
  <c r="C1504" i="1"/>
  <c r="C1522" i="1"/>
  <c r="C1535" i="1"/>
  <c r="C1415" i="1"/>
  <c r="C1432" i="1"/>
  <c r="C1450" i="1"/>
  <c r="C1481" i="1"/>
  <c r="C1500" i="1"/>
  <c r="C1518" i="1"/>
  <c r="C77" i="1"/>
  <c r="C116" i="1"/>
  <c r="C171" i="1"/>
  <c r="C260" i="1"/>
  <c r="C423" i="1"/>
  <c r="C623" i="1"/>
  <c r="C1005" i="1"/>
  <c r="C1012" i="1"/>
  <c r="C1055" i="1"/>
  <c r="C1117" i="1"/>
  <c r="C1204" i="1"/>
  <c r="C1236" i="1"/>
  <c r="C1241" i="1"/>
  <c r="C1284" i="1"/>
  <c r="C1329" i="1"/>
  <c r="C1477" i="1"/>
  <c r="C56" i="1"/>
  <c r="C98" i="1"/>
  <c r="C128" i="1"/>
  <c r="C312" i="1"/>
  <c r="C413" i="1"/>
  <c r="C462" i="1"/>
  <c r="C536" i="1"/>
  <c r="C636" i="1"/>
  <c r="C648" i="1"/>
  <c r="C708" i="1"/>
  <c r="C1084" i="1"/>
  <c r="C1175" i="1"/>
  <c r="C1216" i="1"/>
  <c r="C1231" i="1"/>
  <c r="C1310" i="1"/>
  <c r="C1325" i="1"/>
  <c r="C1377" i="1"/>
  <c r="C1390" i="1"/>
  <c r="C1424" i="1"/>
  <c r="C1441" i="1"/>
  <c r="C1455" i="1"/>
  <c r="C1473" i="1"/>
  <c r="C1490" i="1"/>
  <c r="C1509" i="1"/>
  <c r="C69" i="1"/>
  <c r="C340" i="1"/>
  <c r="C669" i="1"/>
  <c r="C715" i="1"/>
  <c r="C728" i="1"/>
  <c r="C1112" i="1"/>
  <c r="C1156" i="1"/>
  <c r="C1246" i="1"/>
  <c r="C1260" i="1"/>
  <c r="C1269" i="1"/>
  <c r="C1315" i="1"/>
  <c r="C1338" i="1"/>
  <c r="C1469" i="1"/>
  <c r="C1536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92" i="1"/>
  <c r="C1076" i="1"/>
  <c r="C1111" i="1"/>
  <c r="C1137" i="1"/>
  <c r="C1153" i="1"/>
  <c r="C1169" i="1"/>
  <c r="C1250" i="1"/>
  <c r="C1259" i="1"/>
  <c r="C1263" i="1"/>
  <c r="C1273" i="1"/>
  <c r="C1299" i="1"/>
  <c r="C1304" i="1"/>
  <c r="C1333" i="1"/>
  <c r="C1350" i="1"/>
  <c r="C1368" i="1"/>
  <c r="C1385" i="1"/>
  <c r="C1399" i="1"/>
  <c r="C1463" i="1"/>
  <c r="C1531" i="1"/>
  <c r="C22" i="1"/>
  <c r="C209" i="1"/>
  <c r="C281" i="1"/>
  <c r="C347" i="1"/>
  <c r="C430" i="1"/>
  <c r="C604" i="1"/>
  <c r="C668" i="1"/>
  <c r="C1104" i="1"/>
  <c r="C1192" i="1"/>
  <c r="C1279" i="1"/>
  <c r="C1294" i="1"/>
  <c r="C1346" i="1"/>
  <c r="C1364" i="1"/>
  <c r="C1381" i="1"/>
  <c r="C1395" i="1"/>
  <c r="C1411" i="1"/>
  <c r="C1428" i="1"/>
  <c r="C1445" i="1"/>
  <c r="C1459" i="1"/>
  <c r="C1494" i="1"/>
  <c r="C1514" i="1"/>
  <c r="C1527" i="1"/>
  <c r="C45" i="1"/>
  <c r="C161" i="1"/>
  <c r="C272" i="1"/>
  <c r="C451" i="1"/>
  <c r="C528" i="1"/>
  <c r="C1031" i="1"/>
  <c r="C1063" i="1"/>
  <c r="C1091" i="1"/>
  <c r="C1143" i="1"/>
  <c r="C1342" i="1"/>
  <c r="C1359" i="1"/>
  <c r="C1407" i="1"/>
  <c r="C1523" i="1"/>
  <c r="C108" i="1"/>
  <c r="C172" i="1"/>
  <c r="C201" i="1"/>
  <c r="C243" i="1"/>
  <c r="C376" i="1"/>
  <c r="C1070" i="1"/>
  <c r="C1187" i="1"/>
  <c r="C1264" i="1"/>
  <c r="C1274" i="1"/>
  <c r="C1355" i="1"/>
  <c r="C1373" i="1"/>
  <c r="C1386" i="1"/>
  <c r="C1420" i="1"/>
  <c r="C1437" i="1"/>
  <c r="C1451" i="1"/>
  <c r="C1486" i="1"/>
  <c r="C1505" i="1"/>
  <c r="C1519" i="1"/>
  <c r="C162" i="1"/>
  <c r="C184" i="1"/>
  <c r="C1512" i="1"/>
  <c r="C1327" i="1"/>
  <c r="C1151" i="1"/>
  <c r="C1038" i="1"/>
  <c r="C452" i="1"/>
  <c r="C1370" i="1"/>
  <c r="C1217" i="1"/>
  <c r="C1158" i="1"/>
  <c r="C1086" i="1"/>
  <c r="C544" i="1"/>
  <c r="C202" i="1"/>
  <c r="C90" i="1"/>
  <c r="C1532" i="1"/>
  <c r="C1308" i="1"/>
  <c r="C1270" i="1"/>
  <c r="C1195" i="1"/>
  <c r="C513" i="1"/>
  <c r="C394" i="1"/>
  <c r="C1541" i="1"/>
  <c r="C1465" i="1"/>
  <c r="C1352" i="1"/>
  <c r="C341" i="1"/>
  <c r="C1492" i="1"/>
  <c r="C1347" i="1"/>
  <c r="C1228" i="1"/>
  <c r="C709" i="1"/>
  <c r="C577" i="1"/>
  <c r="C12" i="1"/>
  <c r="C1262" i="1"/>
  <c r="C1066" i="1"/>
  <c r="C1021" i="1"/>
  <c r="C692" i="1"/>
  <c r="C351" i="1"/>
  <c r="C285" i="1"/>
  <c r="C1416" i="1"/>
  <c r="C1374" i="1"/>
  <c r="C1300" i="1"/>
  <c r="C1491" i="1"/>
  <c r="C1464" i="1"/>
  <c r="C1396" i="1"/>
  <c r="C1351" i="1"/>
  <c r="C1525" i="1"/>
  <c r="C1497" i="1"/>
  <c r="C1340" i="1"/>
  <c r="C1330" i="1"/>
  <c r="C1312" i="1"/>
  <c r="C1305" i="1"/>
  <c r="C1238" i="1"/>
  <c r="C1171" i="1"/>
  <c r="C1034" i="1"/>
  <c r="C1020" i="1"/>
  <c r="C996" i="1"/>
  <c r="C699" i="1"/>
  <c r="C691" i="1"/>
  <c r="C683" i="1"/>
  <c r="C657" i="1"/>
  <c r="C529" i="1"/>
  <c r="C424" i="1"/>
  <c r="C349" i="1"/>
  <c r="C295" i="1"/>
  <c r="C235" i="1"/>
  <c r="C185" i="1"/>
  <c r="C109" i="1"/>
  <c r="C1508" i="1"/>
  <c r="C1453" i="1"/>
  <c r="C1448" i="1"/>
  <c r="C1442" i="1"/>
  <c r="C1426" i="1"/>
  <c r="C1318" i="1"/>
  <c r="C1287" i="1"/>
  <c r="C1280" i="1"/>
  <c r="C1261" i="1"/>
  <c r="C1244" i="1"/>
  <c r="C1232" i="1"/>
  <c r="C1177" i="1"/>
  <c r="C1146" i="1"/>
  <c r="C1106" i="1"/>
  <c r="C1100" i="1"/>
  <c r="C1041" i="1"/>
  <c r="C1027" i="1"/>
  <c r="C981" i="1"/>
  <c r="C956" i="1"/>
  <c r="C721" i="1"/>
  <c r="C584" i="1"/>
  <c r="C501" i="1"/>
  <c r="C492" i="1"/>
  <c r="C305" i="1"/>
  <c r="C246" i="1"/>
  <c r="C1458" i="1"/>
  <c r="C1400" i="1"/>
  <c r="C1362" i="1"/>
  <c r="C1311" i="1"/>
  <c r="C1292" i="1"/>
  <c r="C1266" i="1"/>
  <c r="C1003" i="1"/>
  <c r="C988" i="1"/>
  <c r="C625" i="1"/>
  <c r="C294" i="1"/>
  <c r="C1434" i="1"/>
  <c r="C1348" i="1"/>
  <c r="C1276" i="1"/>
  <c r="C1472" i="1"/>
  <c r="C561" i="1"/>
  <c r="C79" i="1"/>
  <c r="C1417" i="1"/>
  <c r="C1375" i="1"/>
  <c r="C1301" i="1"/>
  <c r="C1433" i="1"/>
  <c r="C1397" i="1"/>
  <c r="C1125" i="1"/>
  <c r="C286" i="1"/>
  <c r="C1511" i="1"/>
  <c r="C1460" i="1"/>
  <c r="C1422" i="1"/>
  <c r="C1326" i="1"/>
  <c r="C613" i="1"/>
  <c r="C464" i="1"/>
  <c r="C226" i="1"/>
  <c r="C100" i="1"/>
  <c r="C1443" i="1"/>
  <c r="C1357" i="1"/>
  <c r="C1059" i="1"/>
  <c r="C685" i="1"/>
  <c r="C370" i="1"/>
  <c r="C1401" i="1"/>
  <c r="C1251" i="1"/>
  <c r="C1207" i="1"/>
  <c r="C1108" i="1"/>
  <c r="C415" i="1"/>
  <c r="C1475" i="1"/>
  <c r="C1405" i="1"/>
  <c r="C1335" i="1"/>
  <c r="C1131" i="1"/>
  <c r="C1515" i="1"/>
  <c r="C1502" i="1"/>
  <c r="C1484" i="1"/>
  <c r="C1474" i="1"/>
  <c r="C1404" i="1"/>
  <c r="C1388" i="1"/>
  <c r="C1378" i="1"/>
  <c r="C1334" i="1"/>
  <c r="C1205" i="1"/>
  <c r="C1138" i="1"/>
  <c r="C1435" i="1"/>
  <c r="C1344" i="1"/>
  <c r="C1286" i="1"/>
  <c r="C1176" i="1"/>
  <c r="C1081" i="1"/>
  <c r="C1010" i="1"/>
  <c r="C663" i="1"/>
  <c r="C656" i="1"/>
  <c r="C601" i="1"/>
  <c r="C592" i="1"/>
  <c r="C537" i="1"/>
  <c r="C442" i="1"/>
  <c r="C194" i="1"/>
  <c r="C1489" i="1"/>
  <c r="C1457" i="1"/>
  <c r="C1452" i="1"/>
  <c r="C1447" i="1"/>
  <c r="C1430" i="1"/>
  <c r="C1371" i="1"/>
  <c r="C1360" i="1"/>
  <c r="C1317" i="1"/>
  <c r="C1265" i="1"/>
  <c r="C1088" i="1"/>
  <c r="C1039" i="1"/>
  <c r="C697" i="1"/>
  <c r="C631" i="1"/>
  <c r="C386" i="1"/>
  <c r="C314" i="1"/>
  <c r="C144" i="1"/>
  <c r="C70" i="1"/>
  <c r="C1488" i="1"/>
  <c r="C1461" i="1"/>
  <c r="C1429" i="1"/>
  <c r="C1343" i="1"/>
  <c r="C1229" i="1"/>
  <c r="C1189" i="1"/>
  <c r="C1053" i="1"/>
  <c r="C1008" i="1"/>
  <c r="C717" i="1"/>
  <c r="C476" i="1"/>
  <c r="C332" i="1"/>
  <c r="C1439" i="1"/>
  <c r="C1223" i="1"/>
  <c r="C1201" i="1"/>
  <c r="C1060" i="1"/>
  <c r="C976" i="1"/>
  <c r="C552" i="1"/>
  <c r="C1487" i="1"/>
  <c r="C1412" i="1"/>
  <c r="C1296" i="1"/>
  <c r="C1257" i="1"/>
  <c r="C1150" i="1"/>
  <c r="C1085" i="1"/>
  <c r="C1516" i="1"/>
  <c r="C1471" i="1"/>
  <c r="C1369" i="1"/>
  <c r="C1331" i="1"/>
  <c r="C1133" i="1"/>
  <c r="C716" i="1"/>
  <c r="C620" i="1"/>
  <c r="C474" i="1"/>
  <c r="C1313" i="1"/>
  <c r="C1233" i="1"/>
  <c r="C975" i="1"/>
  <c r="C568" i="1"/>
  <c r="C651" i="1"/>
  <c r="C360" i="1"/>
  <c r="C1503" i="1"/>
  <c r="C1281" i="1"/>
  <c r="C576" i="1"/>
  <c r="C434" i="1"/>
  <c r="C175" i="1"/>
  <c r="C1520" i="1"/>
  <c r="C1529" i="1"/>
  <c r="C1495" i="1"/>
  <c r="C1479" i="1"/>
  <c r="C1409" i="1"/>
  <c r="C1383" i="1"/>
  <c r="C1033" i="1"/>
  <c r="C995" i="1"/>
  <c r="C963" i="1"/>
  <c r="C508" i="1"/>
  <c r="C491" i="1"/>
  <c r="C377" i="1"/>
  <c r="C326" i="1"/>
  <c r="C145" i="1"/>
  <c r="C1524" i="1"/>
  <c r="C1507" i="1"/>
  <c r="C1425" i="1"/>
  <c r="C1339" i="1"/>
  <c r="C1237" i="1"/>
  <c r="C987" i="1"/>
  <c r="C1533" i="1"/>
  <c r="C1501" i="1"/>
  <c r="C1483" i="1"/>
  <c r="C1440" i="1"/>
  <c r="C1366" i="1"/>
  <c r="C1291" i="1"/>
  <c r="C1224" i="1"/>
  <c r="C1080" i="1"/>
  <c r="C711" i="1"/>
  <c r="C704" i="1"/>
  <c r="C608" i="1"/>
  <c r="C600" i="1"/>
  <c r="C441" i="1"/>
  <c r="C324" i="1"/>
  <c r="C254" i="1"/>
  <c r="E1198" i="1"/>
  <c r="E1076" i="1"/>
  <c r="E999" i="1"/>
  <c r="E979" i="1"/>
  <c r="E733" i="1"/>
  <c r="E720" i="1"/>
  <c r="E695" i="1"/>
  <c r="E682" i="1"/>
  <c r="E642" i="1"/>
  <c r="E611" i="1"/>
  <c r="E591" i="1"/>
  <c r="E512" i="1"/>
  <c r="E383" i="1"/>
  <c r="E1504" i="1"/>
  <c r="E1436" i="1"/>
  <c r="E1419" i="1"/>
  <c r="E1372" i="1"/>
  <c r="E1354" i="1"/>
  <c r="E1337" i="1"/>
  <c r="E1314" i="1"/>
  <c r="E1268" i="1"/>
  <c r="E1245" i="1"/>
  <c r="E1209" i="1"/>
  <c r="E1161" i="1"/>
  <c r="E1062" i="1"/>
  <c r="E1049" i="1"/>
  <c r="E1018" i="1"/>
  <c r="E972" i="1"/>
  <c r="E958" i="1"/>
  <c r="E519" i="1"/>
  <c r="E251" i="1"/>
  <c r="E150" i="1"/>
  <c r="E1376" i="1"/>
  <c r="E1358" i="1"/>
  <c r="E1341" i="1"/>
  <c r="E1309" i="1"/>
  <c r="E1278" i="1"/>
  <c r="E1225" i="1"/>
  <c r="E1215" i="1"/>
  <c r="E1203" i="1"/>
  <c r="E1180" i="1"/>
  <c r="E1174" i="1"/>
  <c r="E1147" i="1"/>
  <c r="E1142" i="1"/>
  <c r="E1122" i="1"/>
  <c r="E1090" i="1"/>
  <c r="E1068" i="1"/>
  <c r="E1036" i="1"/>
  <c r="E1030" i="1"/>
  <c r="E978" i="1"/>
  <c r="E725" i="1"/>
  <c r="E660" i="1"/>
  <c r="E647" i="1"/>
  <c r="E641" i="1"/>
  <c r="E635" i="1"/>
  <c r="E590" i="1"/>
  <c r="E550" i="1"/>
  <c r="E391" i="1"/>
  <c r="E208" i="1"/>
  <c r="E190" i="1"/>
  <c r="E85" i="1"/>
  <c r="E1148" i="1"/>
  <c r="E1137" i="1"/>
  <c r="E1111" i="1"/>
  <c r="E1069" i="1"/>
  <c r="E1043" i="1"/>
  <c r="E617" i="1"/>
  <c r="E597" i="1"/>
  <c r="E496" i="1"/>
  <c r="E375" i="1"/>
  <c r="E191" i="1"/>
  <c r="E86" i="1"/>
  <c r="E1535" i="1"/>
  <c r="E1485" i="1"/>
  <c r="E1468" i="1"/>
  <c r="E1403" i="1"/>
  <c r="E1319" i="1"/>
  <c r="E1186" i="1"/>
  <c r="E1129" i="1"/>
  <c r="E1097" i="1"/>
  <c r="E1025" i="1"/>
  <c r="E964" i="1"/>
  <c r="E675" i="1"/>
  <c r="E542" i="1"/>
  <c r="E527" i="1"/>
  <c r="E220" i="1"/>
  <c r="E1508" i="1"/>
  <c r="E1489" i="1"/>
  <c r="E1472" i="1"/>
  <c r="E1440" i="1"/>
  <c r="E1423" i="1"/>
  <c r="E1406" i="1"/>
  <c r="E1513" i="1"/>
  <c r="E1493" i="1"/>
  <c r="E1476" i="1"/>
  <c r="E1444" i="1"/>
  <c r="E1427" i="1"/>
  <c r="E1410" i="1"/>
  <c r="E1380" i="1"/>
  <c r="E1363" i="1"/>
  <c r="E1345" i="1"/>
  <c r="E1288" i="1"/>
  <c r="E1283" i="1"/>
  <c r="E1258" i="1"/>
  <c r="E1240" i="1"/>
  <c r="E1191" i="1"/>
  <c r="E1128" i="1"/>
  <c r="E1116" i="1"/>
  <c r="E1110" i="1"/>
  <c r="E1042" i="1"/>
  <c r="E1011" i="1"/>
  <c r="E1004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71" i="1"/>
  <c r="E988" i="1"/>
  <c r="E1005" i="1"/>
  <c r="E1019" i="1"/>
  <c r="E1037" i="1"/>
  <c r="E1054" i="1"/>
  <c r="E1072" i="1"/>
  <c r="E1087" i="1"/>
  <c r="E1106" i="1"/>
  <c r="E1124" i="1"/>
  <c r="E1143" i="1"/>
  <c r="E1157" i="1"/>
  <c r="E1175" i="1"/>
  <c r="E1192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62" i="1"/>
  <c r="E980" i="1"/>
  <c r="E997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68" i="1"/>
  <c r="E985" i="1"/>
  <c r="E998" i="1"/>
  <c r="E1016" i="1"/>
  <c r="E1034" i="1"/>
  <c r="E1051" i="1"/>
  <c r="E1065" i="1"/>
  <c r="E1084" i="1"/>
  <c r="E1103" i="1"/>
  <c r="E1121" i="1"/>
  <c r="E1135" i="1"/>
  <c r="E1152" i="1"/>
  <c r="E1172" i="1"/>
  <c r="E1189" i="1"/>
  <c r="E1202" i="1"/>
  <c r="E1220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67" i="1"/>
  <c r="E987" i="1"/>
  <c r="E992" i="1"/>
  <c r="E1032" i="1"/>
  <c r="E1066" i="1"/>
  <c r="E1118" i="1"/>
  <c r="E1183" i="1"/>
  <c r="E1197" i="1"/>
  <c r="E1206" i="1"/>
  <c r="E1216" i="1"/>
  <c r="E1224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1002" i="1"/>
  <c r="E1007" i="1"/>
  <c r="E1017" i="1"/>
  <c r="E1056" i="1"/>
  <c r="E1082" i="1"/>
  <c r="E1133" i="1"/>
  <c r="E1169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1003" i="1"/>
  <c r="E1033" i="1"/>
  <c r="E1052" i="1"/>
  <c r="E1067" i="1"/>
  <c r="E1083" i="1"/>
  <c r="E1119" i="1"/>
  <c r="E1134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89" i="1"/>
  <c r="E1039" i="1"/>
  <c r="E1061" i="1"/>
  <c r="E1080" i="1"/>
  <c r="E1085" i="1"/>
  <c r="E1091" i="1"/>
  <c r="E1109" i="1"/>
  <c r="E1125" i="1"/>
  <c r="E1138" i="1"/>
  <c r="E1160" i="1"/>
  <c r="E1167" i="1"/>
  <c r="E1187" i="1"/>
  <c r="E1207" i="1"/>
  <c r="E1217" i="1"/>
  <c r="E1234" i="1"/>
  <c r="E1251" i="1"/>
  <c r="E1280" i="1"/>
  <c r="E1297" i="1"/>
  <c r="E1315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77" i="1"/>
  <c r="E983" i="1"/>
  <c r="E995" i="1"/>
  <c r="E1006" i="1"/>
  <c r="E1012" i="1"/>
  <c r="E1029" i="1"/>
  <c r="E1055" i="1"/>
  <c r="E1073" i="1"/>
  <c r="E1120" i="1"/>
  <c r="E1131" i="1"/>
  <c r="E1149" i="1"/>
  <c r="E1153" i="1"/>
  <c r="E1177" i="1"/>
  <c r="E1230" i="1"/>
  <c r="E1247" i="1"/>
  <c r="E1259" i="1"/>
  <c r="E1275" i="1"/>
  <c r="E1293" i="1"/>
  <c r="E1311" i="1"/>
  <c r="E1324" i="1"/>
  <c r="E1328" i="1"/>
  <c r="E1332" i="1"/>
  <c r="E1336" i="1"/>
  <c r="E1340" i="1"/>
  <c r="E1344" i="1"/>
  <c r="E1348" i="1"/>
  <c r="E1352" i="1"/>
  <c r="E1356" i="1"/>
  <c r="E1360" i="1"/>
  <c r="E1365" i="1"/>
  <c r="E1369" i="1"/>
  <c r="E1373" i="1"/>
  <c r="E1377" i="1"/>
  <c r="E1381" i="1"/>
  <c r="E1385" i="1"/>
  <c r="E1389" i="1"/>
  <c r="E1394" i="1"/>
  <c r="E1398" i="1"/>
  <c r="E1402" i="1"/>
  <c r="E1405" i="1"/>
  <c r="E1409" i="1"/>
  <c r="E1413" i="1"/>
  <c r="E1417" i="1"/>
  <c r="E1421" i="1"/>
  <c r="E1425" i="1"/>
  <c r="E1429" i="1"/>
  <c r="E1433" i="1"/>
  <c r="E1437" i="1"/>
  <c r="E1441" i="1"/>
  <c r="E1445" i="1"/>
  <c r="E1450" i="1"/>
  <c r="E1454" i="1"/>
  <c r="E1458" i="1"/>
  <c r="E1462" i="1"/>
  <c r="E1467" i="1"/>
  <c r="E1471" i="1"/>
  <c r="E1475" i="1"/>
  <c r="E1479" i="1"/>
  <c r="E1483" i="1"/>
  <c r="E1487" i="1"/>
  <c r="E1491" i="1"/>
  <c r="E1495" i="1"/>
  <c r="E1501" i="1"/>
  <c r="E1505" i="1"/>
  <c r="E1509" i="1"/>
  <c r="E1514" i="1"/>
  <c r="E1518" i="1"/>
  <c r="E1522" i="1"/>
  <c r="E1526" i="1"/>
  <c r="E1530" i="1"/>
  <c r="E1534" i="1"/>
  <c r="E1542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73" i="1"/>
  <c r="E984" i="1"/>
  <c r="E1035" i="1"/>
  <c r="E1074" i="1"/>
  <c r="E1081" i="1"/>
  <c r="E1086" i="1"/>
  <c r="E1099" i="1"/>
  <c r="E1104" i="1"/>
  <c r="E1150" i="1"/>
  <c r="E1168" i="1"/>
  <c r="E1178" i="1"/>
  <c r="E1208" i="1"/>
  <c r="E1218" i="1"/>
  <c r="E1222" i="1"/>
  <c r="E1235" i="1"/>
  <c r="E1248" i="1"/>
  <c r="E1263" i="1"/>
  <c r="E1281" i="1"/>
  <c r="E1298" i="1"/>
  <c r="E1312" i="1"/>
  <c r="E56" i="1"/>
  <c r="E112" i="1"/>
  <c r="E130" i="1"/>
  <c r="E224" i="1"/>
  <c r="E242" i="1"/>
  <c r="E275" i="1"/>
  <c r="E292" i="1"/>
  <c r="E310" i="1"/>
  <c r="E318" i="1"/>
  <c r="E396" i="1"/>
  <c r="E1521" i="1"/>
  <c r="E1503" i="1"/>
  <c r="E1484" i="1"/>
  <c r="E1453" i="1"/>
  <c r="E1435" i="1"/>
  <c r="E1418" i="1"/>
  <c r="E1388" i="1"/>
  <c r="E1371" i="1"/>
  <c r="E1353" i="1"/>
  <c r="E1318" i="1"/>
  <c r="E1313" i="1"/>
  <c r="E1262" i="1"/>
  <c r="E1244" i="1"/>
  <c r="E1239" i="1"/>
  <c r="E1229" i="1"/>
  <c r="E1213" i="1"/>
  <c r="E1201" i="1"/>
  <c r="E1179" i="1"/>
  <c r="E1159" i="1"/>
  <c r="E1127" i="1"/>
  <c r="E1088" i="1"/>
  <c r="E1060" i="1"/>
  <c r="E1048" i="1"/>
  <c r="E1041" i="1"/>
  <c r="E1010" i="1"/>
  <c r="E963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525" i="1"/>
  <c r="E1507" i="1"/>
  <c r="E1488" i="1"/>
  <c r="E1457" i="1"/>
  <c r="E1439" i="1"/>
  <c r="E1422" i="1"/>
  <c r="E1393" i="1"/>
  <c r="E1375" i="1"/>
  <c r="E1357" i="1"/>
  <c r="E1327" i="1"/>
  <c r="E1308" i="1"/>
  <c r="E1302" i="1"/>
  <c r="E1292" i="1"/>
  <c r="E1282" i="1"/>
  <c r="E1276" i="1"/>
  <c r="E1266" i="1"/>
  <c r="E1146" i="1"/>
  <c r="E1141" i="1"/>
  <c r="E1115" i="1"/>
  <c r="E1108" i="1"/>
  <c r="E1053" i="1"/>
  <c r="E1022" i="1"/>
  <c r="E996" i="1"/>
  <c r="E976" i="1"/>
  <c r="E970" i="1"/>
  <c r="E956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58" i="1"/>
  <c r="B976" i="1"/>
  <c r="B993" i="1"/>
  <c r="B1011" i="1"/>
  <c r="B1025" i="1"/>
  <c r="B1042" i="1"/>
  <c r="B1060" i="1"/>
  <c r="B1079" i="1"/>
  <c r="B1093" i="1"/>
  <c r="B1112" i="1"/>
  <c r="B1129" i="1"/>
  <c r="B1148" i="1"/>
  <c r="B1162" i="1"/>
  <c r="B1180" i="1"/>
  <c r="B1197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68" i="1"/>
  <c r="B985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55" i="1"/>
  <c r="B973" i="1"/>
  <c r="B990" i="1"/>
  <c r="B1003" i="1"/>
  <c r="B1021" i="1"/>
  <c r="B1039" i="1"/>
  <c r="B1056" i="1"/>
  <c r="B1070" i="1"/>
  <c r="B1090" i="1"/>
  <c r="B1109" i="1"/>
  <c r="B1126" i="1"/>
  <c r="B1141" i="1"/>
  <c r="B1159" i="1"/>
  <c r="B1177" i="1"/>
  <c r="B1194" i="1"/>
  <c r="B1207" i="1"/>
  <c r="B1224" i="1"/>
  <c r="B1228" i="1"/>
  <c r="B1232" i="1"/>
  <c r="B1236" i="1"/>
  <c r="B1240" i="1"/>
  <c r="B1244" i="1"/>
  <c r="B1248" i="1"/>
  <c r="B1252" i="1"/>
  <c r="B1255" i="1"/>
  <c r="B1259" i="1"/>
  <c r="B1266" i="1"/>
  <c r="B1270" i="1"/>
  <c r="B1274" i="1"/>
  <c r="B1279" i="1"/>
  <c r="B1283" i="1"/>
  <c r="B1287" i="1"/>
  <c r="B1291" i="1"/>
  <c r="B1296" i="1"/>
  <c r="B1299" i="1"/>
  <c r="B1303" i="1"/>
  <c r="B1308" i="1"/>
  <c r="B1312" i="1"/>
  <c r="B1316" i="1"/>
  <c r="B1320" i="1"/>
  <c r="B1324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57" i="1"/>
  <c r="B962" i="1"/>
  <c r="B978" i="1"/>
  <c r="B983" i="1"/>
  <c r="B1013" i="1"/>
  <c r="B1028" i="1"/>
  <c r="B1047" i="1"/>
  <c r="B1062" i="1"/>
  <c r="B1078" i="1"/>
  <c r="B1087" i="1"/>
  <c r="B1099" i="1"/>
  <c r="B1114" i="1"/>
  <c r="B1128" i="1"/>
  <c r="B1144" i="1"/>
  <c r="B1149" i="1"/>
  <c r="B1165" i="1"/>
  <c r="B1174" i="1"/>
  <c r="B1179" i="1"/>
  <c r="B1193" i="1"/>
  <c r="B1202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88" i="1"/>
  <c r="B998" i="1"/>
  <c r="B1033" i="1"/>
  <c r="B1067" i="1"/>
  <c r="B1119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84" i="1"/>
  <c r="B989" i="1"/>
  <c r="B994" i="1"/>
  <c r="B1014" i="1"/>
  <c r="B1048" i="1"/>
  <c r="B1063" i="1"/>
  <c r="B1100" i="1"/>
  <c r="B1150" i="1"/>
  <c r="B1166" i="1"/>
  <c r="B1317" i="1"/>
  <c r="B1286" i="1"/>
  <c r="B1268" i="1"/>
  <c r="B1253" i="1"/>
  <c r="B1204" i="1"/>
  <c r="B1189" i="1"/>
  <c r="B1140" i="1"/>
  <c r="B1111" i="1"/>
  <c r="B1069" i="1"/>
  <c r="B1046" i="1"/>
  <c r="B1041" i="1"/>
  <c r="B1019" i="1"/>
  <c r="B1008" i="1"/>
  <c r="B1002" i="1"/>
  <c r="B979" i="1"/>
  <c r="B961" i="1"/>
  <c r="B956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98" i="1"/>
  <c r="B1281" i="1"/>
  <c r="B1263" i="1"/>
  <c r="B1235" i="1"/>
  <c r="B1218" i="1"/>
  <c r="B1208" i="1"/>
  <c r="B1188" i="1"/>
  <c r="B1168" i="1"/>
  <c r="B1161" i="1"/>
  <c r="B1139" i="1"/>
  <c r="B1110" i="1"/>
  <c r="B1104" i="1"/>
  <c r="B1092" i="1"/>
  <c r="B1086" i="1"/>
  <c r="B1081" i="1"/>
  <c r="B1040" i="1"/>
  <c r="B1035" i="1"/>
  <c r="B678" i="1"/>
  <c r="B666" i="1"/>
  <c r="B644" i="1"/>
  <c r="B545" i="1"/>
  <c r="B531" i="1"/>
  <c r="B517" i="1"/>
  <c r="B365" i="1"/>
  <c r="B168" i="1"/>
  <c r="B46" i="1"/>
  <c r="B1302" i="1"/>
  <c r="B1285" i="1"/>
  <c r="B1267" i="1"/>
  <c r="B1239" i="1"/>
  <c r="B1203" i="1"/>
  <c r="B1198" i="1"/>
  <c r="B1183" i="1"/>
  <c r="B1115" i="1"/>
  <c r="B1098" i="1"/>
  <c r="B1068" i="1"/>
  <c r="B1045" i="1"/>
  <c r="B1023" i="1"/>
  <c r="B1018" i="1"/>
  <c r="B1001" i="1"/>
  <c r="B972" i="1"/>
  <c r="B966" i="1"/>
  <c r="B960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6" i="38"/>
  <c r="D64" i="38"/>
  <c r="D77" i="26"/>
  <c r="E66" i="26"/>
  <c r="D63" i="38"/>
  <c r="D55" i="38"/>
  <c r="D62" i="38"/>
  <c r="D54" i="38"/>
  <c r="C144" i="23"/>
  <c r="E49" i="26"/>
  <c r="C95" i="26"/>
  <c r="C141" i="23"/>
  <c r="E40" i="26"/>
  <c r="D120" i="26"/>
  <c r="D99" i="26"/>
  <c r="D94" i="26"/>
  <c r="C137" i="23"/>
  <c r="E37" i="26"/>
  <c r="D61" i="38"/>
  <c r="D53" i="38"/>
  <c r="D82" i="26"/>
  <c r="C131" i="23"/>
  <c r="E23" i="26"/>
  <c r="D60" i="38"/>
  <c r="D52" i="38"/>
  <c r="D49" i="38"/>
  <c r="D59" i="38"/>
  <c r="D48" i="38"/>
  <c r="C91" i="23"/>
  <c r="D77" i="23"/>
  <c r="C76" i="23"/>
  <c r="D144" i="26"/>
  <c r="D65" i="26"/>
  <c r="D73" i="23"/>
  <c r="D58" i="38"/>
  <c r="D152" i="26"/>
  <c r="D149" i="26"/>
  <c r="D69" i="26"/>
  <c r="D141" i="26"/>
  <c r="D34" i="26"/>
  <c r="D72" i="23"/>
  <c r="D47" i="38"/>
  <c r="C78" i="26"/>
  <c r="D72" i="26"/>
  <c r="C137" i="26"/>
  <c r="D29" i="26"/>
  <c r="D65" i="38"/>
  <c r="D57" i="38"/>
  <c r="C125" i="23"/>
  <c r="D133" i="26"/>
  <c r="D25" i="26"/>
  <c r="D123" i="26"/>
  <c r="D19" i="26"/>
  <c r="D46" i="38"/>
  <c r="D45" i="38"/>
  <c r="D41" i="38"/>
  <c r="D44" i="38"/>
  <c r="D51" i="38"/>
  <c r="D43" i="38"/>
  <c r="D50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8" i="38"/>
  <c r="C143" i="23"/>
  <c r="C98" i="37"/>
  <c r="C49" i="37"/>
  <c r="C106" i="26"/>
  <c r="C116" i="23"/>
  <c r="C27" i="23"/>
  <c r="C150" i="23"/>
  <c r="C18" i="37"/>
  <c r="C86" i="37"/>
  <c r="C44" i="38"/>
  <c r="C83" i="23"/>
  <c r="C122" i="26"/>
  <c r="C123" i="26"/>
  <c r="C139" i="23"/>
  <c r="C37" i="15"/>
  <c r="C153" i="26"/>
  <c r="C46" i="37"/>
  <c r="C21" i="23"/>
  <c r="C138" i="26"/>
  <c r="C140" i="26"/>
  <c r="C70" i="37"/>
  <c r="C62" i="38"/>
  <c r="C64" i="32"/>
  <c r="C46" i="32"/>
  <c r="C50" i="37"/>
  <c r="C49" i="32"/>
  <c r="C126" i="37"/>
  <c r="C83" i="37"/>
  <c r="C140" i="37"/>
  <c r="C60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1" i="38"/>
  <c r="C27" i="38"/>
  <c r="C107" i="32"/>
  <c r="C64" i="37"/>
  <c r="C54" i="38"/>
  <c r="C57" i="38"/>
  <c r="C69" i="26"/>
  <c r="C69" i="37"/>
  <c r="C120" i="37"/>
  <c r="C120" i="26"/>
  <c r="C22" i="37"/>
  <c r="C22" i="32"/>
  <c r="C20" i="26"/>
  <c r="C20" i="37"/>
  <c r="C138" i="23"/>
  <c r="C52" i="38"/>
  <c r="C51" i="38"/>
  <c r="C56" i="38"/>
  <c r="C49" i="38"/>
  <c r="C43" i="38"/>
  <c r="C138" i="37"/>
  <c r="C58" i="38"/>
  <c r="C4" i="35"/>
  <c r="C50" i="38"/>
  <c r="C55" i="38"/>
  <c r="C42" i="38"/>
  <c r="C63" i="38"/>
  <c r="C59" i="38"/>
  <c r="C47" i="38"/>
  <c r="C65" i="38"/>
  <c r="C64" i="38"/>
  <c r="C46" i="38"/>
  <c r="C45" i="38"/>
  <c r="C61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3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<sst xmlns="http://schemas.openxmlformats.org/spreadsheetml/2006/main" count="11018" uniqueCount="2616">
  <si>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</si>
  <si>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</si>
  <si>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</si>
  <si>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</si>
  <si>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</si>
  <si>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</si>
  <si>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</si>
  <si>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</si>
  <si>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</si>
  <si>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</si>
  <si>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</si>
  <si>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</si>
  <si>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</si>
  <si>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</si>
  <si>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</si>
  <si>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</si>
  <si>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</si>
  <si>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</si>
  <si>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</si>
  <si>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</si>
  <si>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</si>
  <si>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</si>
  <si>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</si>
  <si>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</si>
  <si>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</si>
  <si>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</si>
  <si>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</si>
  <si>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</si>
  <si>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</si>
  <si>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</si>
  <si>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</si>
  <si>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</si>
  <si>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</si>
  <si>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</si>
  <si>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</si>
  <si>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</si>
  <si>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</si>
  <si>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</si>
  <si>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</si>
  <si>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</si>
  <si>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</si>
  <si>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</si>
  <si>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</si>
  <si>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</si>
  <si>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</si>
  <si>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</si>
  <si>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</si>
  <si>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</si>
  <si>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</si>
  <si>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</si>
  <si>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</si>
  <si>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</si>
  <si>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</si>
  <si>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</si>
  <si>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</si>
  <si>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</si>
  <si>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</si>
  <si>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</si>
  <si>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</si>
  <si>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</si>
  <si>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</si>
  <si>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</si>
  <si>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</si>
  <si>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</si>
  <si>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</si>
  <si>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</si>
  <si>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</si>
  <si>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</si>
  <si>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</si>
  <si>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</si>
  <si>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</si>
  <si>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</si>
  <si>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</si>
  <si>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</si>
  <si>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</si>
  <si>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</si>
  <si>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</si>
  <si>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</si>
  <si>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</si>
  <si>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</si>
  <si>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</si>
  <si>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</si>
  <si>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</si>
  <si>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</si>
  <si>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</si>
  <si>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</si>
  <si>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</si>
  <si>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</si>
  <si>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</si>
  <si>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</si>
  <si>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</si>
  <si>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</si>
  <si>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</si>
  <si>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</si>
  <si>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</si>
  <si>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</si>
  <si>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</si>
  <si>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</si>
  <si>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</si>
  <si>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</si>
  <si>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</si>
  <si>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</si>
  <si>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</si>
  <si>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</si>
  <si>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</si>
  <si>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</si>
  <si>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</si>
  <si>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</si>
  <si>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</si>
  <si>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</si>
  <si>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</si>
  <si>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</si>
  <si>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</si>
  <si>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</si>
  <si>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</si>
  <si>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</si>
  <si>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</si>
  <si>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</si>
  <si>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</si>
  <si>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</si>
  <si>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</si>
  <si>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</si>
  <si>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</si>
  <si>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</si>
  <si>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</si>
  <si>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</si>
  <si>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</si>
  <si>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</si>
  <si>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</si>
  <si>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</si>
  <si>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</si>
  <si>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</si>
  <si>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</si>
  <si>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</si>
  <si>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</si>
  <si>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</si>
  <si>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</si>
  <si>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</si>
  <si>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</si>
  <si>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</si>
  <si>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</si>
  <si>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</si>
  <si>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</si>
  <si>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</si>
  <si>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</si>
  <si>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</si>
  <si>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</si>
  <si>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</si>
  <si>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</si>
  <si>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</si>
  <si>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</si>
  <si>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</si>
  <si>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</si>
  <si>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</si>
  <si>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</si>
  <si>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</si>
  <si>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</si>
  <si>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</si>
  <si>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</si>
  <si>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</si>
  <si>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</si>
  <si>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</si>
  <si>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</si>
  <si>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</si>
  <si>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</si>
  <si>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</si>
  <si>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</si>
  <si>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</si>
  <si>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</si>
  <si>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</si>
  <si>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</si>
  <si>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</si>
  <si>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</si>
  <si>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</si>
  <si>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</si>
  <si>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</si>
  <si>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</si>
  <si>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</si>
  <si>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</si>
  <si>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</si>
  <si>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</si>
  <si>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</si>
  <si>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</si>
  <si>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</si>
  <si>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</si>
  <si>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</si>
  <si>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</si>
  <si>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</si>
  <si>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</si>
  <si>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</si>
  <si>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</si>
  <si>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</si>
  <si>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</si>
  <si>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</si>
  <si>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</si>
  <si>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</si>
  <si>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</si>
  <si>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</si>
  <si>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</si>
  <si>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</si>
  <si>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</si>
  <si>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</si>
  <si>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</si>
  <si>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</si>
  <si>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</si>
  <si>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</si>
  <si>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</si>
  <si>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</si>
  <si>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</si>
  <si>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</si>
  <si>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</si>
  <si>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</si>
  <si>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</si>
  <si>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</si>
  <si>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</si>
  <si>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</si>
  <si>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</si>
  <si>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</si>
  <si>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</si>
  <si>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</si>
  <si>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</si>
  <si>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</si>
  <si>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</si>
  <si>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</si>
  <si>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</si>
  <si>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</si>
  <si>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</si>
  <si>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</si>
  <si>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</si>
  <si>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</si>
  <si>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</si>
  <si>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</si>
  <si>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</si>
  <si>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</si>
  <si>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</si>
  <si>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</si>
  <si>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</si>
  <si>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</si>
  <si>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</si>
  <si>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</si>
  <si>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</si>
  <si>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</si>
  <si>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</si>
  <si>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</si>
  <si>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</si>
  <si>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</si>
  <si>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</si>
  <si>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</si>
  <si>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</si>
  <si>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</si>
  <si>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</si>
  <si>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</si>
  <si>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</si>
  <si>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</si>
  <si>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</si>
  <si>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</si>
  <si>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</si>
  <si>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</si>
  <si>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</si>
  <si>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</si>
  <si>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</si>
  <si>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</si>
  <si>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</si>
  <si>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</si>
  <si>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</si>
  <si>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</si>
  <si>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</si>
  <si>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</si>
  <si>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</si>
  <si>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</si>
  <si>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</si>
  <si>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</si>
  <si>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</si>
  <si>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</si>
  <si>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</si>
  <si>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</si>
  <si>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</si>
  <si>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</si>
  <si>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</si>
  <si>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</si>
  <si>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</si>
  <si>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</si>
  <si>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</si>
  <si>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</si>
  <si>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</si>
  <si>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</si>
  <si>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</si>
  <si>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</si>
  <si>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</si>
  <si>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</si>
  <si>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</si>
  <si>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</si>
  <si>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</si>
  <si>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</si>
  <si>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</si>
  <si>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</si>
  <si>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</si>
  <si>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</si>
  <si>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</si>
  <si>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</si>
  <si>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</si>
  <si>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</si>
  <si>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</si>
  <si>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</si>
  <si>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</si>
  <si>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</si>
  <si>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</si>
  <si>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</si>
  <si>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</si>
  <si>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</si>
  <si>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</si>
  <si>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</si>
  <si>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</si>
  <si>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</si>
  <si>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</si>
  <si>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</si>
  <si>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</si>
  <si>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</si>
  <si>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</si>
  <si>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</si>
  <si>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</si>
  <si>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</si>
  <si>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</si>
  <si>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</si>
  <si>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</si>
  <si>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</si>
  <si>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</si>
  <si>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</si>
  <si>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</si>
  <si>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</si>
  <si>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</si>
  <si>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</si>
  <si>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</si>
  <si>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</si>
  <si>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</si>
  <si>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</si>
  <si>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</si>
  <si>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</si>
  <si>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</si>
  <si>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</si>
  <si>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</si>
  <si>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</si>
  <si>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</si>
  <si>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</si>
  <si>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</si>
  <si>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</si>
  <si>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</si>
  <si>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</si>
  <si>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</si>
  <si>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</si>
  <si>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</si>
  <si>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</si>
  <si>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</si>
  <si>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</si>
  <si>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</si>
  <si>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</si>
  <si>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</si>
  <si>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</si>
  <si>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</si>
  <si>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</si>
  <si>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</si>
  <si>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</si>
  <si>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</si>
  <si>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</si>
  <si>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</si>
  <si>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</si>
  <si>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</si>
  <si>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</si>
  <si>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</si>
  <si>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</si>
  <si>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</si>
  <si>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</si>
  <si>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</si>
  <si>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</si>
  <si>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</si>
  <si>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</si>
  <si>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</si>
  <si>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</si>
  <si>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</si>
  <si>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</si>
  <si>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</si>
  <si>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</si>
  <si>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</si>
  <si>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</si>
  <si>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</si>
  <si>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</si>
  <si>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</si>
  <si>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</si>
  <si>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</si>
  <si>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</si>
  <si>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</si>
  <si>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</si>
  <si>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</si>
  <si>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</si>
  <si>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</si>
  <si>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</si>
  <si>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</si>
  <si>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</si>
  <si>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</si>
  <si>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</si>
  <si>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</si>
  <si>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</si>
  <si>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</si>
  <si>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</si>
  <si>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</si>
  <si>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</si>
  <si>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</si>
  <si>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</si>
  <si>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</si>
  <si>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</si>
  <si>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</si>
  <si>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</si>
  <si>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</si>
  <si>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</si>
  <si>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</si>
  <si>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</si>
  <si>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</si>
  <si>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</si>
  <si>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</si>
  <si>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</si>
  <si>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</si>
  <si>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</si>
  <si>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</si>
  <si>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</si>
  <si>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</si>
  <si>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</si>
  <si>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</si>
  <si>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</si>
  <si>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</si>
  <si>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</si>
  <si>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</si>
  <si>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</si>
  <si>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</si>
  <si>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</si>
  <si>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</si>
  <si>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</si>
  <si>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</si>
  <si>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</si>
  <si>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</si>
  <si>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</si>
  <si>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</si>
  <si>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</si>
  <si>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</si>
  <si>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</si>
  <si>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</si>
  <si>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</si>
  <si>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</si>
  <si>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</si>
  <si>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</si>
  <si>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</si>
  <si>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</si>
  <si>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</si>
  <si>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</si>
  <si>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</si>
  <si>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</si>
  <si>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</si>
  <si>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</si>
  <si>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</si>
  <si>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</si>
  <si>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</si>
  <si>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</si>
  <si>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</si>
  <si>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</si>
  <si>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</si>
  <si>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</si>
  <si>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</si>
  <si>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</si>
  <si>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</si>
  <si>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</si>
  <si>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</si>
  <si>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</si>
  <si>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</si>
  <si>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</si>
  <si>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</si>
  <si>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</si>
  <si>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</si>
  <si>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</si>
  <si>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</si>
  <si>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</si>
  <si>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</si>
  <si>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</si>
  <si>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</si>
  <si>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</si>
  <si>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</si>
  <si>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</si>
  <si>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</si>
  <si>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</si>
  <si>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</si>
  <si>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</si>
  <si>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</si>
  <si>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</si>
  <si>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</si>
  <si>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</si>
  <si>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</si>
  <si>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</si>
  <si>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</si>
  <si>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</si>
  <si>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</si>
  <si>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</si>
  <si>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</si>
  <si>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</si>
  <si>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</si>
  <si>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</si>
  <si>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</si>
  <si>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</si>
  <si>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</si>
  <si>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</si>
  <si>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</si>
  <si>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</si>
  <si>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</si>
  <si>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</si>
  <si>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</si>
  <si>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</si>
  <si>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</si>
  <si>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</si>
  <si>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</si>
  <si>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</si>
  <si>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</si>
  <si>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</si>
  <si>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</si>
  <si>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</si>
  <si>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</si>
  <si>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</si>
  <si>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</si>
  <si>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</si>
  <si>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</si>
  <si>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</si>
  <si>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</si>
  <si>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</si>
  <si>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</si>
  <si>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</si>
  <si>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</si>
  <si>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</si>
  <si>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</si>
  <si>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</si>
  <si>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</si>
  <si>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</si>
  <si>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</si>
  <si>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</si>
  <si>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</si>
  <si>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</si>
  <si>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</si>
  <si>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</si>
  <si>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</si>
  <si>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</si>
  <si>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</si>
  <si>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</si>
  <si>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</si>
  <si>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</si>
  <si>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</si>
  <si>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</si>
  <si>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</si>
  <si>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</si>
  <si>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</si>
  <si>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</si>
  <si>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</si>
  <si>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</si>
  <si>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</si>
  <si>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</si>
  <si>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</si>
  <si>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</si>
  <si>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</si>
  <si>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</si>
  <si>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</si>
  <si>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</si>
  <si>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</si>
  <si>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</si>
  <si>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</si>
  <si>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</si>
  <si>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</si>
  <si>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</si>
  <si>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</si>
  <si>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</si>
  <si>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</si>
  <si>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</si>
  <si>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</si>
  <si>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</si>
  <si>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</si>
  <si>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</si>
  <si>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</si>
  <si>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</si>
  <si>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</si>
  <si>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</si>
  <si>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</si>
  <si>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</si>
  <si>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</si>
  <si>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</si>
  <si>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</si>
  <si>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</si>
  <si>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</si>
  <si>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</si>
  <si>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</si>
  <si>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</si>
  <si>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</si>
  <si>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</si>
  <si>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</si>
  <si>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</si>
  <si>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</si>
  <si>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</si>
  <si>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</si>
  <si>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</si>
  <si>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</si>
  <si>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</si>
  <si>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</si>
  <si>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</si>
  <si>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</si>
  <si>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</si>
  <si>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</si>
  <si>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</si>
  <si>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</si>
  <si>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</si>
  <si>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</si>
  <si>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</si>
  <si>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</si>
  <si>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</si>
  <si>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</si>
  <si>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</si>
  <si>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</si>
  <si>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</si>
  <si>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</si>
  <si>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</si>
  <si>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</si>
  <si>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</si>
  <si>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</si>
  <si>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</si>
  <si>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</si>
  <si>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</si>
  <si>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</si>
  <si>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</si>
  <si>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</si>
  <si>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</si>
  <si>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</si>
  <si>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</si>
  <si>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</si>
  <si>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</si>
  <si>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</si>
  <si>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</si>
  <si>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</si>
  <si>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</si>
  <si>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</si>
  <si>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</si>
  <si>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</si>
  <si>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</si>
  <si>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</si>
  <si>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</si>
  <si>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</si>
  <si>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</si>
  <si>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</si>
  <si>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</si>
  <si>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</si>
  <si>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</si>
  <si>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</si>
  <si>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</si>
  <si>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</si>
  <si>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</si>
  <si>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</si>
  <si>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</si>
  <si>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</si>
  <si>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</si>
  <si>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</si>
  <si>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</si>
  <si>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</si>
  <si>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</si>
  <si>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</si>
  <si>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</si>
  <si>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</si>
  <si>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</si>
  <si>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</si>
  <si>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</si>
  <si>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</si>
  <si>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</si>
  <si>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</si>
  <si>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</si>
  <si>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</si>
  <si>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</si>
  <si>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</si>
  <si>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</si>
  <si>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</si>
  <si>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</si>
  <si>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</si>
  <si>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</si>
  <si>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</si>
  <si>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</si>
  <si>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</si>
  <si>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</si>
  <si>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</si>
  <si>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</si>
  <si>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</si>
  <si>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</si>
  <si>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</si>
  <si>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</si>
  <si>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</si>
  <si>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</si>
  <si>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</si>
  <si>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</si>
  <si>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</si>
  <si>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</si>
  <si>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</si>
  <si>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</si>
  <si>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</si>
  <si>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</si>
  <si>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</si>
  <si>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</si>
  <si>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</si>
  <si>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</si>
  <si>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</si>
  <si>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</si>
  <si>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</si>
  <si>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</si>
  <si>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</si>
  <si>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</si>
  <si>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</si>
  <si>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</si>
  <si>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</si>
  <si>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</si>
  <si>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</si>
  <si>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</si>
  <si>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</si>
  <si>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</si>
  <si>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</si>
  <si>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</si>
  <si>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</si>
  <si>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</si>
  <si>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</si>
  <si>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</si>
  <si>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</si>
  <si>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</si>
  <si>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</si>
  <si>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</si>
  <si>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</si>
  <si>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</si>
  <si>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</si>
  <si>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</si>
  <si>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</si>
  <si>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</si>
  <si>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</si>
  <si>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</si>
  <si>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</si>
  <si>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</si>
  <si>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</si>
  <si>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</si>
  <si>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</si>
  <si>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</si>
  <si>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</si>
  <si>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</si>
  <si>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</si>
  <si>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</si>
  <si>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</si>
  <si>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</si>
  <si>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</si>
  <si>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</si>
  <si>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</si>
  <si>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</si>
  <si>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</si>
  <si>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</si>
  <si>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</si>
  <si>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</si>
  <si>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</si>
  <si>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</si>
  <si>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</si>
  <si>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</si>
  <si>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</si>
  <si>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</si>
  <si>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</si>
  <si>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</si>
  <si>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</si>
  <si>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</si>
  <si>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</si>
  <si>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</si>
  <si>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</si>
  <si>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</si>
  <si>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</si>
  <si>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</si>
  <si>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</si>
  <si>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</si>
  <si>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</si>
  <si>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</si>
  <si>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</si>
  <si>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</si>
  <si>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</si>
  <si>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</si>
  <si>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</si>
  <si>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</si>
  <si>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</si>
  <si>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</si>
  <si>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</si>
  <si>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</si>
  <si>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</si>
  <si>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</si>
  <si>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</si>
  <si>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</si>
  <si>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</si>
  <si>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</si>
  <si>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</si>
  <si>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</si>
  <si>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</si>
  <si>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</si>
  <si>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</si>
  <si>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</si>
  <si>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</si>
  <si>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</si>
  <si>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</si>
  <si>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</si>
  <si>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</si>
  <si>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</si>
  <si>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</si>
  <si>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</si>
  <si>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</si>
  <si>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</si>
  <si>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</si>
  <si>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</si>
  <si>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</si>
  <si>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</si>
  <si>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</si>
  <si>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</si>
  <si>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</si>
  <si>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</si>
  <si>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</si>
  <si>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</si>
  <si>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</si>
  <si>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</si>
  <si>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</si>
  <si>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</si>
  <si>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</si>
  <si>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</si>
  <si>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</si>
  <si>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</si>
  <si>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</si>
  <si>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</si>
  <si>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</si>
  <si>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</si>
  <si>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</si>
  <si>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</si>
  <si>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</si>
  <si>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</si>
  <si>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</si>
  <si>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</si>
  <si>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</si>
  <si>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</si>
  <si>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</si>
  <si>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</si>
  <si>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</si>
  <si>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</si>
  <si>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</si>
  <si>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</si>
  <si>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</si>
  <si>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</si>
  <si>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</si>
  <si>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</si>
  <si>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</si>
  <si>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</si>
  <si>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</si>
  <si>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</si>
  <si>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</si>
  <si>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</si>
  <si>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</si>
  <si>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</si>
  <si>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</si>
  <si>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</si>
  <si>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</si>
  <si>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</si>
  <si>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</si>
  <si>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</si>
  <si>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</si>
  <si>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</si>
  <si>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</si>
  <si>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</si>
  <si>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</si>
  <si>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</si>
  <si>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</si>
  <si>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</si>
  <si>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</si>
  <si>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</si>
  <si>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</si>
  <si>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</si>
  <si>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</si>
  <si>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</si>
  <si>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</si>
  <si>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</si>
  <si>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</si>
  <si>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</si>
  <si>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</si>
  <si>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</si>
  <si>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</si>
  <si>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</si>
  <si>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</si>
  <si>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</si>
  <si>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</si>
  <si>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</si>
  <si>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</si>
  <si>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</si>
  <si>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</si>
  <si>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</si>
  <si>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</si>
  <si>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</si>
  <si>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</si>
  <si>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</si>
  <si>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</si>
  <si>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</si>
  <si>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</si>
  <si>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</si>
  <si>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</si>
  <si>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</si>
  <si>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</si>
  <si>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</si>
  <si>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</si>
  <si>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</si>
  <si>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</si>
  <si>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</si>
  <si>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</si>
  <si>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</si>
  <si>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</si>
  <si>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</si>
  <si>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</si>
  <si>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</si>
  <si>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</si>
  <si>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</si>
  <si>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</si>
  <si>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</si>
  <si>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</si>
  <si>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</si>
  <si>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</si>
  <si>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</si>
  <si>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</si>
  <si>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</si>
  <si>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</si>
  <si>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</si>
  <si>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</si>
  <si>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</si>
  <si>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</si>
  <si>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</si>
  <si>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</si>
  <si>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</si>
  <si>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</si>
  <si>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</si>
  <si>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</si>
  <si>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</si>
  <si>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</si>
  <si>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</si>
  <si>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</si>
  <si>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</si>
  <si>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</si>
  <si>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</si>
  <si>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</si>
  <si>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</si>
  <si>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</si>
  <si>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</si>
  <si>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</si>
  <si>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</si>
  <si>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</si>
  <si>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</si>
  <si>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</si>
  <si>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</si>
  <si>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</si>
  <si>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</si>
  <si>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</si>
  <si>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</si>
  <si>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</si>
  <si>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</si>
  <si>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</si>
  <si>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</si>
  <si>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</si>
  <si>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</si>
  <si>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</si>
  <si>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</si>
  <si>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</si>
  <si>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</si>
  <si>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</si>
  <si>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</si>
  <si>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</si>
  <si>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</si>
  <si>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</si>
  <si>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</si>
  <si>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</si>
  <si>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</si>
  <si>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</si>
  <si>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</si>
  <si>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</si>
  <si>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</si>
  <si>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</si>
  <si>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</si>
  <si>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</si>
  <si>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</si>
  <si>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</si>
  <si>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</si>
  <si>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</si>
  <si>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</si>
  <si>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</si>
  <si>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</si>
  <si>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</si>
  <si>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</si>
  <si>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</si>
  <si>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</si>
  <si>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</si>
  <si>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</si>
  <si>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</si>
  <si>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</si>
  <si>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</si>
  <si>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</si>
  <si>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</si>
  <si>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</si>
  <si>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</si>
  <si>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</si>
  <si>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</si>
  <si>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</si>
  <si>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</si>
  <si>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</si>
  <si>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</si>
  <si>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</si>
  <si>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</si>
  <si>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</si>
  <si>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</si>
  <si>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</si>
  <si>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</si>
  <si>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</si>
  <si>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</si>
  <si>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</si>
  <si>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</si>
  <si>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</si>
  <si>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</si>
  <si>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</si>
  <si>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</si>
  <si>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</si>
  <si>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</si>
  <si>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</si>
  <si>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</si>
  <si>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</si>
  <si>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</si>
  <si>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</si>
  <si>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</si>
  <si>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</si>
  <si>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</si>
  <si>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</si>
  <si>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</si>
  <si>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</si>
  <si>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</si>
  <si>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</si>
  <si>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</si>
  <si>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</si>
  <si>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</si>
  <si>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</si>
  <si>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</si>
  <si>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</si>
  <si>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</si>
  <si>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</si>
  <si>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</si>
  <si>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</si>
  <si>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</si>
  <si>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</si>
  <si>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</si>
  <si>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</si>
  <si>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</si>
  <si>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</si>
  <si>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</si>
  <si>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</si>
  <si>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</si>
  <si>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</si>
  <si>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</si>
  <si>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</si>
  <si>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</si>
  <si>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</si>
  <si>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</si>
  <si>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</si>
  <si>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</si>
  <si>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</si>
  <si>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</si>
  <si>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</si>
  <si>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</si>
  <si>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</si>
  <si>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</si>
  <si>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</si>
  <si>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</si>
  <si>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</si>
  <si>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</si>
  <si>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</si>
  <si>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</si>
  <si>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</si>
  <si>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</si>
  <si>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</si>
  <si>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</si>
  <si>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</si>
  <si>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</si>
  <si>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</si>
  <si>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</si>
  <si>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</si>
  <si>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</si>
  <si>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</si>
  <si>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</si>
  <si>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</si>
  <si>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</si>
  <si>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</si>
  <si>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</si>
  <si>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</si>
  <si>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</si>
  <si>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</si>
  <si>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</si>
  <si>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</si>
  <si>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</si>
  <si>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</si>
  <si>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</si>
  <si>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</si>
  <si>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</si>
  <si>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</si>
  <si>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</si>
  <si>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</si>
  <si>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</si>
  <si>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</si>
  <si>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</si>
  <si>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</si>
  <si>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</si>
  <si>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</si>
  <si>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</si>
  <si>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</si>
  <si>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</si>
  <si>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</si>
  <si>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</si>
  <si>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</si>
  <si>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</si>
  <si>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</si>
  <si>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</si>
  <si>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</si>
  <si>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</si>
  <si>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</si>
  <si>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</si>
  <si>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</si>
  <si>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</si>
  <si>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</si>
  <si>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</si>
  <si>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</si>
  <si>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</si>
  <si>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</si>
  <si>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</si>
  <si>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</si>
  <si>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</si>
  <si>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</si>
  <si>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</si>
  <si>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</si>
  <si>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</si>
  <si>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</si>
  <si>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</si>
  <si>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</si>
  <si>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</si>
  <si>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</si>
  <si>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</si>
  <si>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</si>
  <si>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</si>
  <si>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</si>
  <si>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</si>
  <si>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</si>
  <si>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</si>
  <si>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</si>
  <si>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</si>
  <si>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</si>
  <si>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</si>
  <si>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</si>
  <si>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</si>
  <si>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</si>
  <si>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</si>
  <si>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</si>
  <si>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</si>
  <si>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</si>
  <si>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</si>
  <si>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</si>
  <si>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</si>
  <si>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</si>
  <si>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</si>
  <si>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</si>
  <si>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</si>
  <si>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</si>
  <si>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</si>
  <si>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</si>
  <si>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</si>
  <si>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</si>
  <si>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</si>
  <si>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</si>
  <si>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</si>
  <si>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</si>
  <si>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</si>
  <si>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</si>
  <si>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</si>
  <si>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</si>
  <si>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</si>
  <si>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</si>
  <si>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</si>
  <si>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</si>
  <si>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</si>
  <si>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</si>
  <si>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</si>
  <si>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</si>
  <si>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</si>
  <si>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</si>
  <si>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</si>
  <si>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</si>
  <si>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</si>
  <si>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</si>
  <si>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</si>
  <si>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</si>
  <si>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</si>
  <si>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</si>
  <si>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</si>
  <si>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</si>
  <si>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</si>
  <si>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</si>
  <si>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</si>
  <si>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</si>
  <si>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</si>
  <si>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</si>
  <si>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</si>
  <si>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</si>
  <si>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</si>
  <si>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</si>
  <si>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</si>
  <si>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</si>
  <si>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</si>
  <si>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</si>
  <si>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</si>
  <si>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</si>
  <si>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</si>
  <si>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</si>
  <si>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</si>
  <si>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</si>
  <si>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</si>
  <si>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</si>
  <si>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</si>
  <si>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</si>
  <si>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</si>
  <si>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</si>
  <si>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</si>
  <si>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</si>
  <si>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</si>
  <si>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</si>
  <si>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</si>
  <si>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</si>
  <si>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</si>
  <si>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</si>
  <si>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</si>
  <si>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</si>
  <si>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</si>
  <si>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</si>
  <si>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</si>
  <si>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</si>
  <si>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</si>
  <si>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</si>
  <si>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</si>
  <si>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</si>
  <si>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</si>
  <si>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</si>
  <si>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</si>
  <si>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</si>
  <si>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</si>
  <si>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</si>
  <si>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</si>
  <si>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</si>
  <si>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</si>
  <si>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</si>
  <si>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</si>
  <si>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</si>
  <si>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</si>
  <si>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</si>
  <si>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</si>
  <si>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</si>
  <si>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</si>
  <si>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</si>
  <si>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</si>
  <si>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</si>
  <si>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</si>
  <si>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</si>
  <si>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</si>
  <si>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</si>
  <si>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</si>
  <si>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</si>
  <si>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</si>
  <si>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</si>
  <si>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</si>
  <si>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</si>
  <si>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</si>
  <si>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</si>
  <si>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</si>
  <si>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</si>
  <si>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</si>
  <si>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</si>
  <si>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</si>
  <si>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</si>
  <si>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</si>
  <si>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</si>
  <si>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</si>
  <si>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</si>
  <si>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</si>
  <si>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</si>
  <si>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</si>
  <si>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</si>
  <si>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</si>
  <si>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</si>
  <si>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</si>
  <si>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</si>
  <si>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</si>
  <si>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</si>
  <si>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</si>
  <si>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</si>
  <si>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</si>
  <si>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</si>
  <si>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</si>
  <si>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</si>
  <si>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</si>
  <si>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</si>
  <si>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</si>
  <si>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</si>
  <si>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</si>
  <si>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</si>
  <si>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</si>
  <si>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</si>
  <si>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</si>
  <si>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</si>
  <si>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</si>
  <si>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</si>
  <si>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</si>
  <si>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</si>
  <si>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</si>
  <si>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</si>
  <si>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</si>
  <si>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</si>
  <si>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</si>
  <si>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</si>
  <si>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</si>
  <si>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</si>
  <si>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</si>
  <si>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</si>
  <si>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</si>
  <si>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</si>
  <si>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</si>
  <si>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</si>
  <si>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</si>
  <si>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</si>
  <si>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</si>
  <si>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</si>
  <si>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</si>
  <si>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</si>
  <si>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</si>
  <si>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</si>
  <si>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</si>
  <si>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</si>
  <si>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</si>
  <si>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</si>
  <si>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</si>
  <si>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</si>
  <si>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</si>
  <si>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</si>
  <si>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</si>
  <si>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</si>
  <si>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</si>
  <si>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</si>
  <si>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</si>
  <si>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</si>
  <si>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</si>
  <si>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</si>
  <si>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</si>
  <si>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</si>
  <si>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</si>
  <si>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</si>
  <si>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</si>
  <si>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</si>
  <si>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</si>
  <si>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</si>
  <si>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</si>
  <si>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</si>
  <si>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</si>
  <si>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</si>
  <si>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</si>
  <si>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</si>
  <si>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</si>
  <si>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</si>
  <si>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</si>
  <si>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</si>
  <si>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</si>
  <si>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</si>
  <si>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</si>
  <si>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</si>
  <si>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</si>
  <si>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</si>
  <si>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</si>
  <si>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</si>
  <si>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</si>
  <si>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</si>
  <si>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</si>
  <si>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</si>
  <si>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</si>
  <si>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</si>
  <si>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</si>
  <si>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</si>
  <si>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</si>
  <si>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</si>
  <si>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</si>
  <si>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</si>
  <si>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</si>
  <si>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</si>
  <si>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</si>
  <si>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</si>
  <si>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</si>
  <si>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</si>
  <si>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</si>
  <si>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</si>
  <si>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</si>
  <si>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</si>
  <si>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</si>
  <si>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</si>
  <si>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</si>
  <si>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</si>
  <si>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</si>
  <si>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</si>
  <si>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</si>
  <si>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</si>
  <si>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</si>
  <si>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</si>
  <si>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</si>
  <si>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</si>
  <si>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</si>
  <si>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</si>
  <si>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</si>
  <si>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</si>
  <si>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</si>
  <si>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</si>
  <si>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</si>
  <si>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</si>
  <si>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</si>
  <si>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</si>
  <si>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</si>
  <si>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</si>
  <si>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</si>
  <si>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</si>
  <si>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</si>
  <si>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</si>
  <si>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</si>
  <si>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</si>
  <si>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</si>
  <si>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</si>
  <si>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</si>
  <si>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</si>
  <si>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</si>
  <si>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</si>
  <si>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</si>
  <si>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</si>
  <si>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</si>
  <si>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</si>
  <si>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</si>
  <si>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</si>
  <si>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</si>
  <si>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</si>
  <si>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</si>
  <si>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</si>
  <si>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</si>
  <si>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</si>
  <si>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</si>
  <si>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</si>
  <si>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</si>
  <si>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</si>
  <si>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</si>
  <si>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</si>
  <si>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</si>
  <si>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</si>
  <si>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</si>
  <si>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</si>
  <si>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</si>
  <si>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</si>
  <si>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</si>
  <si>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</si>
  <si>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</si>
  <si>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</si>
  <si>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</si>
  <si>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</si>
  <si>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</si>
  <si>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</si>
  <si>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</si>
  <si>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</si>
  <si>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</si>
  <si>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</si>
  <si>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</si>
  <si>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</si>
  <si>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</si>
  <si>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</si>
  <si>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</si>
  <si>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</si>
  <si>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</si>
  <si>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</si>
  <si>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</si>
  <si>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</si>
  <si>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</si>
  <si>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</si>
  <si>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</si>
  <si>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</si>
  <si>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</si>
  <si>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</si>
  <si>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</si>
  <si>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</si>
  <si>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</si>
  <si>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</si>
  <si>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</si>
  <si>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</si>
  <si>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</si>
  <si>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</si>
  <si>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</si>
  <si>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</si>
  <si>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</si>
  <si>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</si>
  <si>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</si>
  <si>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</si>
  <si>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</si>
  <si>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</si>
  <si>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</si>
  <si>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</si>
  <si>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</si>
  <si>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</si>
  <si>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</si>
  <si>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</si>
  <si>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</si>
  <si>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</si>
  <si>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</si>
  <si>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</si>
  <si>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</si>
  <si>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</si>
  <si>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</si>
  <si>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</si>
  <si>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</si>
  <si>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</si>
  <si>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</si>
  <si>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</si>
  <si>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</si>
  <si>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</si>
  <si>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</si>
  <si>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</si>
  <si>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</si>
  <si>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</si>
  <si>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</si>
  <si>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</si>
  <si>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</si>
  <si>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</si>
  <si>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</si>
  <si>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</si>
  <si>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</si>
  <si>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</si>
  <si>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</si>
  <si>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</si>
  <si>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</si>
  <si>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</si>
  <si>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</si>
  <si>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</si>
  <si>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</si>
  <si>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</si>
  <si>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</si>
  <si>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</si>
  <si>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</si>
  <si>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</si>
  <si>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</si>
  <si>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</si>
  <si>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</si>
  <si>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</si>
  <si>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</si>
  <si>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</si>
  <si>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</si>
  <si>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</si>
  <si>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</si>
  <si>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</si>
  <si>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</si>
  <si>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</si>
  <si>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</si>
  <si>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</si>
  <si>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</si>
  <si>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</si>
  <si>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</si>
  <si>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</si>
  <si>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</si>
  <si>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</si>
  <si>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</si>
  <si>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</si>
  <si>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</si>
  <si>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</si>
  <si>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</si>
  <si>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</si>
  <si>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</si>
  <si>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</si>
  <si>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</si>
  <si>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</si>
  <si>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</si>
  <si>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</si>
  <si>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</si>
  <si>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</si>
  <si>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</si>
  <si>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</si>
  <si>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</si>
  <si>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</si>
  <si>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</si>
  <si>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</si>
  <si>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</si>
  <si>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</si>
  <si>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</si>
  <si>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</si>
  <si>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</si>
  <si>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</si>
  <si>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</si>
  <si>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</si>
  <si>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</si>
  <si>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</si>
  <si>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</si>
  <si>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</si>
  <si>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</si>
  <si>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</si>
  <si>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</si>
  <si>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</si>
  <si>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</si>
  <si>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</si>
  <si>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</si>
  <si>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</si>
  <si>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</si>
  <si>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</si>
  <si>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</si>
  <si>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</si>
  <si>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</si>
  <si>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</si>
  <si>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</si>
  <si>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</si>
  <si>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</si>
  <si>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</si>
  <si>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</si>
  <si>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</si>
  <si>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</si>
  <si>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</si>
  <si>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</si>
  <si>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</si>
  <si>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</si>
  <si>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</si>
  <si>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</si>
  <si>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</si>
  <si>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</si>
  <si>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</si>
  <si>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</si>
  <si>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</si>
  <si>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</si>
  <si>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</si>
  <si>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</si>
  <si>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</si>
  <si>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</si>
  <si>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</si>
  <si>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</si>
  <si>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</si>
  <si>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</si>
  <si>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</si>
  <si>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</si>
  <si>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</si>
  <si>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</si>
  <si>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</si>
  <si>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</si>
  <si>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</si>
  <si>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</si>
  <si>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</si>
  <si>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</si>
  <si>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</si>
  <si>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</si>
  <si>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</si>
  <si>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</si>
  <si>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</si>
  <si>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</si>
  <si>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</si>
  <si>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</si>
  <si>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</si>
  <si>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</si>
  <si>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</si>
  <si>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</si>
  <si>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</si>
  <si>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</si>
  <si>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</si>
  <si>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</si>
  <si>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</si>
  <si>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</si>
  <si>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</si>
  <si>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</si>
  <si>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</si>
  <si>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</si>
  <si>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</si>
  <si>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</si>
  <si>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</si>
  <si>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</si>
  <si>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</si>
  <si>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</si>
  <si>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</si>
  <si>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</si>
  <si>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</si>
  <si>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</si>
  <si>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</si>
  <si>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</si>
  <si>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</si>
  <si>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</si>
  <si>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</si>
  <si>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</si>
  <si>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</si>
  <si>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</si>
  <si>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</si>
  <si>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</si>
  <si>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</si>
  <si>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</si>
  <si>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</si>
  <si>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</si>
  <si>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</si>
  <si>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</si>
  <si>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</si>
  <si>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</si>
  <si>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</si>
  <si>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</si>
  <si>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</si>
  <si>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</si>
  <si>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</si>
  <si>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</si>
  <si>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</si>
  <si>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</si>
  <si>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</si>
  <si>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</si>
  <si>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</si>
  <si>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</si>
  <si>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</si>
  <si>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</si>
  <si>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</si>
  <si>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</si>
  <si>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</si>
  <si>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</si>
  <si>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</si>
  <si>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</si>
  <si>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</si>
  <si>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</si>
  <si>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</si>
  <si>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</si>
  <si>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</si>
  <si>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</si>
  <si>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</si>
  <si>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</si>
  <si>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</si>
  <si>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</si>
  <si>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</si>
  <si>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</si>
  <si>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</si>
  <si>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</si>
  <si>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</si>
  <si>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</si>
  <si>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</si>
  <si>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</si>
  <si>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</si>
  <si>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</si>
  <si>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</si>
  <si>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</si>
  <si>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</si>
  <si>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</si>
  <si>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</si>
  <si>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</si>
  <si>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</si>
  <si>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</si>
  <si>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</si>
  <si>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</si>
  <si>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</si>
  <si>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</si>
  <si>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</si>
  <si>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</si>
  <si>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</si>
  <si>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</si>
  <si>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</si>
  <si>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</si>
  <si>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</si>
  <si>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</si>
  <si>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</si>
  <si>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</si>
  <si>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</si>
  <si>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</si>
  <si>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</si>
  <si>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</si>
  <si>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</si>
  <si>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</si>
  <si>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</si>
  <si>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</si>
  <si>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</si>
  <si>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</si>
  <si>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</si>
  <si>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</si>
  <si>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</si>
  <si>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</si>
  <si>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</si>
  <si>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</si>
  <si>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</si>
  <si>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</si>
  <si>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</si>
  <si>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</si>
  <si>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</si>
  <si>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</si>
  <si>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</si>
  <si>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</si>
  <si>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</si>
  <si>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</si>
  <si>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</si>
  <si>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</si>
  <si>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</si>
  <si>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</si>
  <si>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</si>
  <si>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</si>
  <si>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</si>
  <si>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</si>
  <si>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</si>
  <si>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</si>
  <si>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</si>
  <si>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</si>
  <si>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</si>
  <si>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</si>
  <si>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</si>
  <si>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</si>
  <si>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</si>
  <si>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</si>
  <si>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</si>
  <si>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</si>
  <si>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</si>
  <si>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</si>
  <si>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</si>
  <si>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</si>
  <si>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</si>
  <si>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</si>
  <si>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</si>
  <si>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</si>
  <si>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</si>
  <si>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</si>
  <si>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</si>
  <si>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</si>
  <si>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</si>
  <si>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</si>
  <si>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</si>
  <si>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</si>
  <si>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</si>
  <si>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</si>
  <si>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</si>
  <si>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</si>
  <si>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</si>
  <si>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</si>
  <si>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</si>
  <si>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</si>
  <si>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</si>
  <si>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</si>
  <si>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</si>
  <si>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</si>
  <si>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</si>
  <si>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</si>
  <si>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</si>
  <si>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</si>
  <si>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</si>
  <si>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</si>
  <si>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</si>
  <si>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</si>
  <si>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</si>
  <si>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</si>
  <si>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</si>
  <si>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</si>
  <si>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</si>
  <si>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</si>
  <si>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</si>
  <si>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</si>
  <si>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</si>
  <si>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</si>
  <si>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</si>
  <si>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</si>
  <si>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</si>
  <si>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</si>
  <si>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</si>
  <si>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</si>
  <si>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</si>
  <si>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</si>
  <si>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</si>
  <si>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</si>
  <si>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</si>
  <si>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</si>
  <si>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</si>
  <si>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</si>
  <si>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</si>
  <si>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</si>
  <si>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</si>
  <si>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</si>
  <si>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</si>
  <si>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</si>
  <si>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</si>
  <si>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</si>
  <si>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</si>
  <si>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</si>
  <si>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</si>
  <si>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</si>
  <si>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</si>
  <si>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</si>
  <si>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</si>
  <si>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</si>
  <si>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</si>
  <si>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</si>
  <si>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</si>
  <si>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</si>
  <si>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</si>
  <si>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</si>
  <si>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</si>
  <si>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</si>
  <si>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</si>
  <si>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</si>
  <si>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</si>
  <si>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</si>
  <si>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</si>
  <si>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</si>
  <si>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</si>
  <si>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</si>
  <si>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</si>
  <si>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</si>
  <si>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</si>
  <si>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</si>
  <si>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</si>
  <si>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</si>
  <si>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</si>
  <si>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</si>
  <si>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</si>
  <si>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</si>
  <si>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</si>
  <si>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</si>
  <si>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</si>
  <si>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</si>
  <si>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</si>
  <si>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</si>
  <si>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</si>
  <si>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</si>
  <si>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</si>
  <si>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</si>
  <si>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</si>
  <si>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</si>
  <si>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</si>
  <si>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</si>
  <si>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</si>
  <si>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</si>
  <si>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</si>
  <si>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</si>
  <si>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</si>
  <si>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</si>
  <si>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</si>
  <si>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</si>
  <si>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</si>
  <si>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</si>
  <si>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</si>
  <si>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</si>
  <si>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</si>
  <si>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</si>
  <si>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</si>
  <si>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</si>
  <si>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</si>
  <si>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</si>
  <si>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</si>
  <si>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</si>
  <si>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</si>
  <si>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</si>
  <si>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</si>
  <si>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</si>
  <si>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</si>
  <si>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</si>
  <si>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</si>
  <si>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</si>
  <si>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</si>
  <si>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</si>
  <si>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</si>
  <si>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</si>
  <si>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</si>
  <si>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</si>
  <si>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</si>
  <si>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</si>
  <si>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</si>
  <si>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</si>
  <si>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</si>
  <si>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</si>
  <si>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</si>
  <si>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</si>
  <si>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</si>
  <si>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</si>
  <si>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</si>
  <si>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</si>
  <si>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</si>
  <si>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</si>
  <si>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</si>
  <si>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</si>
  <si>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</si>
  <si>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</si>
  <si>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</si>
  <si>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</si>
  <si>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</si>
  <si>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</si>
  <si>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</si>
  <si>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</si>
  <si>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</si>
  <si>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</si>
  <si>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</si>
  <si>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</si>
  <si>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</si>
  <si>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</si>
  <si>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</si>
  <si>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</si>
  <si>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</si>
  <si>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</si>
  <si>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</si>
  <si>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</si>
  <si>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</si>
  <si>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</si>
  <si>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</si>
  <si>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</si>
  <si>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</si>
  <si>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</si>
  <si>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</si>
  <si>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</si>
  <si>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</si>
  <si>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</si>
  <si>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</si>
  <si>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</si>
  <si>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</si>
  <si>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</si>
  <si>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</si>
  <si>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</si>
  <si>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</si>
  <si>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</si>
  <si>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</si>
  <si>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</si>
  <si>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</si>
  <si>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</si>
  <si>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</si>
  <si>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</si>
  <si>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</si>
  <si>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</si>
  <si>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</si>
  <si>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</si>
  <si>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</si>
  <si>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</si>
  <si>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</si>
  <si>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</si>
  <si>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</si>
  <si>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</si>
  <si>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</si>
  <si>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</si>
  <si>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</si>
  <si>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</si>
  <si>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</si>
  <si>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</si>
  <si>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</si>
  <si>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</si>
  <si>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</si>
  <si>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</si>
  <si>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</si>
  <si>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</si>
  <si>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</si>
  <si>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</si>
  <si>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</si>
  <si>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</si>
  <si>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</si>
  <si>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</si>
  <si>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</si>
  <si>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</si>
  <si>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</si>
  <si>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</si>
  <si>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</si>
  <si>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</si>
  <si>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</si>
  <si>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</si>
  <si>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</si>
  <si>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</si>
  <si>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</si>
  <si>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</si>
  <si>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</si>
  <si>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</si>
  <si>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</si>
  <si>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</si>
  <si>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</si>
  <si>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</si>
  <si>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</si>
  <si>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</si>
  <si>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</si>
  <si>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</si>
  <si>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</si>
  <si>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</si>
  <si>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</si>
  <si>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</si>
  <si>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</si>
  <si>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</si>
  <si>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</si>
  <si>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</si>
  <si>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</si>
  <si>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</si>
  <si>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</si>
  <si>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</si>
  <si>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</si>
  <si>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</si>
  <si>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</si>
  <si>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</si>
  <si>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</si>
  <si>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</si>
  <si>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</si>
  <si>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</si>
  <si>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</si>
  <si>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</si>
  <si>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</si>
  <si>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</si>
  <si>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</si>
  <si>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</si>
  <si>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</si>
  <si>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</si>
  <si>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</si>
  <si>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</si>
  <si>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</si>
  <si>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</si>
  <si>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</si>
  <si>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</si>
  <si>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</si>
  <si>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</si>
  <si>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</si>
  <si>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</si>
  <si>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</si>
  <si>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</si>
  <si>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</si>
  <si>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</si>
  <si>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</si>
  <si>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</si>
  <si>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</si>
  <si>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</si>
  <si>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</si>
  <si>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</si>
  <si>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</si>
  <si>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</si>
  <si>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</si>
  <si>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</si>
  <si>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</si>
  <si>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</si>
  <si>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</si>
  <si>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</si>
  <si>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</si>
  <si>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</si>
  <si>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</si>
  <si>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</si>
  <si>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</si>
  <si>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</si>
  <si>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</si>
  <si>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</si>
  <si>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</si>
  <si>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</si>
  <si>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</si>
  <si>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</si>
  <si>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</si>
  <si>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</si>
  <si>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</si>
  <si>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</si>
  <si>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</si>
  <si>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</si>
  <si>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</si>
  <si>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</si>
  <si>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</si>
  <si>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</si>
  <si>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</si>
  <si>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</si>
  <si>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</si>
  <si>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</si>
  <si>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</si>
  <si>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</si>
  <si>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</si>
  <si>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</si>
  <si>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</si>
  <si>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</si>
  <si>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</si>
  <si>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</si>
  <si>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</si>
  <si>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</si>
  <si>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</si>
  <si>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</si>
  <si>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</si>
  <si>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</si>
  <si>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</si>
  <si>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</si>
  <si>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</si>
  <si>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</si>
  <si>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</si>
  <si>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</si>
  <si>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</si>
  <si>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</si>
  <si>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</si>
  <si>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</si>
  <si>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</si>
  <si>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</si>
  <si>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</si>
  <si>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</si>
  <si>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</si>
  <si>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</si>
  <si>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</si>
  <si>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</si>
  <si>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</si>
  <si>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</si>
  <si>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</si>
  <si>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</si>
  <si>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</si>
  <si>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</si>
  <si>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</si>
  <si>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</si>
  <si>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</si>
  <si>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</si>
  <si>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</si>
  <si>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</si>
  <si>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</si>
  <si>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</si>
  <si>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</si>
  <si>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</si>
  <si>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</si>
  <si>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</si>
  <si>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</si>
  <si>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</si>
  <si>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</si>
  <si>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</si>
  <si>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</si>
  <si>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</si>
  <si>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</si>
  <si>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</si>
  <si>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</si>
  <si>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</si>
  <si>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</si>
  <si>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</si>
  <si>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</si>
  <si>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</si>
  <si>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</si>
  <si>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</si>
  <si>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</si>
  <si>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</si>
  <si>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</si>
  <si>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</si>
  <si>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</si>
  <si>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</si>
  <si>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</si>
  <si>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</si>
  <si>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</si>
  <si>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</si>
  <si>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</si>
  <si>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</si>
  <si>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</si>
  <si>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</si>
  <si>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</si>
  <si>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</si>
  <si>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</si>
  <si>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</si>
  <si>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</si>
  <si>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</si>
  <si>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</si>
  <si>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</si>
  <si>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</si>
  <si>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</si>
  <si>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</si>
  <si>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</si>
  <si>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</si>
  <si>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</si>
  <si>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</si>
  <si>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</si>
  <si>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</si>
  <si>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</si>
  <si>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</si>
  <si>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</si>
  <si>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</si>
  <si>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</si>
  <si>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</si>
  <si>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</si>
  <si>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</si>
  <si>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</si>
  <si>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</si>
  <si>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</si>
  <si>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</si>
  <si>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</si>
  <si>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</si>
  <si>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</si>
  <si>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</si>
  <si>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</si>
  <si>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</si>
  <si>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</si>
  <si>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</si>
  <si>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</si>
  <si>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</si>
  <si>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</si>
  <si>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</si>
  <si>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</si>
  <si>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</si>
  <si>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</si>
  <si>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</si>
  <si>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</si>
  <si>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</si>
  <si>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</si>
  <si>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</si>
  <si>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ADR-IFO</t>
  </si>
  <si>
    <t>AIO</t>
  </si>
  <si>
    <t>AVD</t>
  </si>
  <si>
    <t>BEAM</t>
  </si>
  <si>
    <t>BOLD</t>
  </si>
  <si>
    <t>BP</t>
  </si>
  <si>
    <t>BrECADD</t>
  </si>
  <si>
    <t>BuCy</t>
  </si>
  <si>
    <t>CAD</t>
  </si>
  <si>
    <t>CEV</t>
  </si>
  <si>
    <t>CHOEP</t>
  </si>
  <si>
    <t>CHOP</t>
  </si>
  <si>
    <t>CMF</t>
  </si>
  <si>
    <t>COPP</t>
  </si>
  <si>
    <t>CV</t>
  </si>
  <si>
    <t>DA</t>
  </si>
  <si>
    <t>DC (Doce/Carbo)</t>
  </si>
  <si>
    <t>DC (Doce/Cyclo)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</si>
  <si>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</si>
  <si>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</si>
  <si>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</si>
  <si>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</si>
  <si>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</si>
  <si>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</si>
  <si>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</si>
  <si>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</si>
  <si>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</si>
  <si>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</si>
  <si>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</si>
  <si>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</si>
  <si>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</si>
  <si>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</si>
  <si>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</si>
  <si>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</si>
  <si>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</si>
  <si>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</si>
  <si>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</si>
  <si>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</si>
  <si>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</si>
  <si>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</si>
  <si>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</si>
  <si>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</si>
  <si>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FOLFOXIRI</t>
  </si>
  <si>
    <t>FUFAMI</t>
  </si>
  <si>
    <t>GDP-Schema</t>
  </si>
  <si>
    <t>GELOX</t>
  </si>
  <si>
    <t>Gem-Carbo</t>
  </si>
  <si>
    <t>Gem-Cis</t>
  </si>
  <si>
    <t>ICE</t>
  </si>
  <si>
    <t>IEV</t>
  </si>
  <si>
    <t>IMVP-16</t>
  </si>
  <si>
    <t>IRd</t>
  </si>
  <si>
    <t>Knospe</t>
  </si>
  <si>
    <t>Knospe modifiziert</t>
  </si>
  <si>
    <t>KRD</t>
  </si>
  <si>
    <t>MAMAC</t>
  </si>
  <si>
    <t>MATRix</t>
  </si>
  <si>
    <t>MAV</t>
  </si>
  <si>
    <t>M-Cavi</t>
  </si>
  <si>
    <t>MPT</t>
  </si>
  <si>
    <t>M-VAC</t>
  </si>
  <si>
    <t>PAC</t>
  </si>
  <si>
    <t>PC</t>
  </si>
  <si>
    <t>PC mit Bevacizumab</t>
  </si>
  <si>
    <t>PCV</t>
  </si>
  <si>
    <t>PE</t>
  </si>
  <si>
    <t>PEB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</si>
  <si>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</si>
  <si>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</si>
  <si>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</si>
  <si>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</si>
  <si>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</si>
  <si>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</si>
  <si>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</si>
  <si>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</si>
  <si>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</si>
  <si>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</si>
  <si>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</si>
  <si>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R-GemOx</t>
  </si>
  <si>
    <t>R-HAD</t>
  </si>
  <si>
    <t>R-ICE</t>
  </si>
  <si>
    <t>R-MCP</t>
  </si>
  <si>
    <t>R-MP</t>
  </si>
  <si>
    <t>S-HAI</t>
  </si>
  <si>
    <t>SMILE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</si>
  <si>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</si>
  <si>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</si>
  <si>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</si>
  <si>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</si>
  <si>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</si>
  <si>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</si>
  <si>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</si>
  <si>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</si>
  <si>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</si>
  <si>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</si>
  <si>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</si>
  <si>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XP</t>
  </si>
  <si>
    <t>Instillation Intrathekal Tripel</t>
  </si>
  <si>
    <t>Instillation Intrathekal Quadrupel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</si>
  <si>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</si>
  <si>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</si>
  <si>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</si>
  <si>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</si>
  <si>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</si>
  <si>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</si>
  <si>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</si>
  <si>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</si>
  <si>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</si>
  <si>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</si>
  <si>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</si>
  <si>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</si>
  <si>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</si>
  <si>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</si>
  <si>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</si>
  <si>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</si>
  <si>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</si>
  <si>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</si>
  <si>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</si>
  <si>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</si>
  <si>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</si>
  <si>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</si>
  <si>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</si>
  <si>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</si>
  <si>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</si>
  <si>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</si>
  <si>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</si>
  <si>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</si>
  <si>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</si>
  <si>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</si>
  <si>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</si>
  <si>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</si>
  <si>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</si>
  <si>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</si>
  <si>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</si>
  <si>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</si>
  <si>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</si>
  <si>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</si>
  <si>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</si>
  <si>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</si>
  <si>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</si>
  <si>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</si>
  <si>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</si>
  <si>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</si>
  <si>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</si>
  <si>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Turn multiple records containing different values in 'CausesOfDeath' for a specific patient into one record</t>
  </si>
  <si>
    <t>Placebo</t>
  </si>
  <si>
    <t>Capivasertib</t>
  </si>
  <si>
    <t>Avastin</t>
  </si>
  <si>
    <t>summarize(.data = group_by(.data = .Table, across(-.Feature)), .Feature = paste0(.Feature, collapse = ' / '))</t>
  </si>
  <si>
    <t>MIN-1-FROM(RadiationTherapyStartDate,RadiationTherapyEndDate)</t>
  </si>
  <si>
    <t>mutate(.Table, .Feature = case_when(is.na(.Feature) ~ Substance, .default = .Feature))</t>
  </si>
  <si>
    <t>Substitute missing values in 'Protocol' with values in 'Substance'. Reason: 'Substance' may contain protocol names.</t>
  </si>
  <si>
    <t>Folinsäure</t>
  </si>
  <si>
    <t>FS</t>
  </si>
  <si>
    <t>Bemarituzumab</t>
  </si>
  <si>
    <t>Ceralasertib</t>
  </si>
  <si>
    <t>Derazantinib</t>
  </si>
  <si>
    <t>Enoblituzumab</t>
  </si>
  <si>
    <t>Fianlimab</t>
  </si>
  <si>
    <t>Ficlatuzumab</t>
  </si>
  <si>
    <t>Gemtuzumab</t>
  </si>
  <si>
    <t>Pylera</t>
  </si>
  <si>
    <t>Saruparib</t>
  </si>
  <si>
    <t>Zolbetuximab</t>
  </si>
  <si>
    <t>Cyproteron</t>
  </si>
  <si>
    <t>Datopotamab deruxtecan</t>
  </si>
  <si>
    <t>Lanreotid</t>
  </si>
  <si>
    <t>Tipiracil</t>
  </si>
  <si>
    <t>Adecatumumab</t>
  </si>
  <si>
    <t>5Fu</t>
  </si>
  <si>
    <t>Bacillus Calmette-Guérin</t>
  </si>
  <si>
    <t>BCG</t>
  </si>
  <si>
    <t>Leucovorin</t>
  </si>
  <si>
    <t>Oteracil</t>
  </si>
  <si>
    <t>separate_longer_delim(.Table, .Feature, delim = &lt;#delim:regex('\\s*(,|;|/|\\+|\\&amp;|(?i:\\bund\\b)|--&gt;| - )\\s*')#&gt;)</t>
  </si>
  <si>
    <t>Split value in 'Substance' feature at various symbols (, or ; or / or + or &amp;) or strings (' und ' case-insensitive or '--&gt;' or ' - ') and expand into separate rows. Eliminate white space before and after these symbols.</t>
  </si>
  <si>
    <t>Entospletinib</t>
  </si>
  <si>
    <t>Amethopterin</t>
  </si>
  <si>
    <t>Gemzar</t>
  </si>
  <si>
    <t>Leuprone</t>
  </si>
  <si>
    <t>Sixantone</t>
  </si>
  <si>
    <t>Herceptin</t>
  </si>
  <si>
    <t>Taxol</t>
  </si>
  <si>
    <t>Taxotere</t>
  </si>
  <si>
    <t>Lonsurf</t>
  </si>
  <si>
    <t>Afinitor</t>
  </si>
  <si>
    <t>Tagrisso</t>
  </si>
  <si>
    <t>Zytiga</t>
  </si>
  <si>
    <t>Alkeran</t>
  </si>
  <si>
    <t>Axinotecan</t>
  </si>
  <si>
    <t>Axirubicin</t>
  </si>
  <si>
    <t>Bendacitabin</t>
  </si>
  <si>
    <t>Bendaplatin</t>
  </si>
  <si>
    <t>Bendarelbin</t>
  </si>
  <si>
    <t>Exemedac</t>
  </si>
  <si>
    <t>Fareston</t>
  </si>
  <si>
    <t>Farmorubicin</t>
  </si>
  <si>
    <t>Faslodex</t>
  </si>
  <si>
    <t>Flumid</t>
  </si>
  <si>
    <t>Gemedac</t>
  </si>
  <si>
    <t>Mito-extra</t>
  </si>
  <si>
    <t>Mitoxana</t>
  </si>
  <si>
    <t>Paraplatin</t>
  </si>
  <si>
    <t>Prolia</t>
  </si>
  <si>
    <t>Denosumab</t>
  </si>
  <si>
    <t>Ribomustin</t>
  </si>
  <si>
    <t>Riboposid</t>
  </si>
  <si>
    <t>Riboxatin</t>
  </si>
  <si>
    <t>Alimta</t>
  </si>
  <si>
    <t>Ametycine</t>
  </si>
  <si>
    <t>Adrimedac</t>
  </si>
  <si>
    <t>Anablock</t>
  </si>
  <si>
    <t>Anadex</t>
  </si>
  <si>
    <t>Androcal</t>
  </si>
  <si>
    <t>Arimidex</t>
  </si>
  <si>
    <t>Aromasin</t>
  </si>
  <si>
    <t>Asiolex</t>
  </si>
  <si>
    <t>Axicarb</t>
  </si>
  <si>
    <t>Axidexa</t>
  </si>
  <si>
    <t>&lt;#NA&gt;</t>
  </si>
  <si>
    <t>5FU-cell</t>
  </si>
  <si>
    <t>&lt;#INELIGIBLE&gt;</t>
  </si>
  <si>
    <t>Make term ineligible to prevent erroneous matching</t>
  </si>
  <si>
    <t>&gt;=1950-01-01</t>
  </si>
  <si>
    <t>&gt;=0</t>
  </si>
  <si>
    <t>&gt;=2000-01-01</t>
  </si>
  <si>
    <t>&gt;=1900-01-01</t>
  </si>
  <si>
    <t>&gt;0</t>
  </si>
  <si>
    <t>Asparaginase (peg)</t>
  </si>
  <si>
    <t>Doxorubicin liposomal</t>
  </si>
  <si>
    <t>Cytarabin liposomal</t>
  </si>
  <si>
    <t>ValueAvailabilityViolations.Detect</t>
  </si>
  <si>
    <t>ValueAvailabilityViolations.Remove</t>
  </si>
  <si>
    <t>nal-IRI</t>
  </si>
  <si>
    <t>Irinotecan liposomal</t>
  </si>
  <si>
    <t>nab-Paclitaxel</t>
  </si>
  <si>
    <t>Octreotid</t>
  </si>
  <si>
    <t>Streptozotocin</t>
  </si>
  <si>
    <t>6-TG</t>
  </si>
  <si>
    <t>Lanvis</t>
  </si>
  <si>
    <t>Trifluridin+Tipiracil</t>
  </si>
  <si>
    <t>Cytarabin+Daunorubicin</t>
  </si>
  <si>
    <t>A + AVD</t>
  </si>
  <si>
    <t>Abemaciclib + Fulvestrant</t>
  </si>
  <si>
    <t>Abirateron + Prednisolon</t>
  </si>
  <si>
    <t>AIDA</t>
  </si>
  <si>
    <t>Atezolizumab + Bevacizumab</t>
  </si>
  <si>
    <t>Atezolizumab + Carbo/Etoposid</t>
  </si>
  <si>
    <t>ATRA + ATO</t>
  </si>
  <si>
    <t>Avelumab Erhaltung</t>
  </si>
  <si>
    <t>Azacitidin + Venetoclax</t>
  </si>
  <si>
    <t>Azacitidin mono</t>
  </si>
  <si>
    <t>BEACOPP</t>
  </si>
  <si>
    <t>Bevacizumab mono</t>
  </si>
  <si>
    <t>Brentuximab mono</t>
  </si>
  <si>
    <t>Cabazitaxel + Prednisolon</t>
  </si>
  <si>
    <t>Capecitabin mono</t>
  </si>
  <si>
    <t>CAPOX</t>
  </si>
  <si>
    <t>CAPTEM</t>
  </si>
  <si>
    <t>CarboPemPem</t>
  </si>
  <si>
    <t>Carboplatin mono</t>
  </si>
  <si>
    <t>Chlorambucil + Obinutuzumab</t>
  </si>
  <si>
    <t>Cis-Pem</t>
  </si>
  <si>
    <t>Cisplatin + RT</t>
  </si>
  <si>
    <t>CROSS</t>
  </si>
  <si>
    <t>Dabrafenib + Trametinib</t>
  </si>
  <si>
    <t>Docetaxel + Prednisolon</t>
  </si>
  <si>
    <t>Doxorubicin mono</t>
  </si>
  <si>
    <t>D-Rd</t>
  </si>
  <si>
    <t>DTIC mono</t>
  </si>
  <si>
    <t>Durvalumab + Gem/Cis</t>
  </si>
  <si>
    <t>Durvalumab + Platin/Etoposid</t>
  </si>
  <si>
    <t>Durvalumab mono</t>
  </si>
  <si>
    <t>D-VMP</t>
  </si>
  <si>
    <t>D-VTd</t>
  </si>
  <si>
    <t>Encorafenib + Binimetinib</t>
  </si>
  <si>
    <t>EPOCH-R</t>
  </si>
  <si>
    <t>EV + Pembrolizumab</t>
  </si>
  <si>
    <t>FOLFIRI + Bevacizumab</t>
  </si>
  <si>
    <t>FOLFIRI + Cetuximab</t>
  </si>
  <si>
    <t>FOLFOX</t>
  </si>
  <si>
    <t>FOLFOX + Bevacizumab</t>
  </si>
  <si>
    <t>FOLFOX + Panitumumab</t>
  </si>
  <si>
    <t>Fulvestrant mono</t>
  </si>
  <si>
    <t>GC-B (Carbo)</t>
  </si>
  <si>
    <t>GC-B (Cis)</t>
  </si>
  <si>
    <t>Gem + nab-Paclitaxel</t>
  </si>
  <si>
    <t>Gem-Doce</t>
  </si>
  <si>
    <t>GemOx</t>
  </si>
  <si>
    <t>HAM</t>
  </si>
  <si>
    <t>Hyper-CVAD</t>
  </si>
  <si>
    <t>Letrozol mono</t>
  </si>
  <si>
    <t>Lomustin mono</t>
  </si>
  <si>
    <t>MAP</t>
  </si>
  <si>
    <t>nab-Paclitaxel mono</t>
  </si>
  <si>
    <t>nal-IRI + 5-FU/FA</t>
  </si>
  <si>
    <t>Nigro</t>
  </si>
  <si>
    <t>Nivolumab + Ipilimumab</t>
  </si>
  <si>
    <t>Nivolumab mono</t>
  </si>
  <si>
    <t>O-Benda</t>
  </si>
  <si>
    <t>Octreotid LAR</t>
  </si>
  <si>
    <t>Paclitaxel mono</t>
  </si>
  <si>
    <t>Paclitaxel/Cisplatin/Bevacizumab</t>
  </si>
  <si>
    <t>Palbociclib + Letrozol</t>
  </si>
  <si>
    <t>PE-Carbo</t>
  </si>
  <si>
    <t>Pembro + Carbo/Paclitaxel</t>
  </si>
  <si>
    <t>Pembro + Platin/5-FU</t>
  </si>
  <si>
    <t>Pembrolizumab + Axitinib</t>
  </si>
  <si>
    <t>Pembrolizumab mono</t>
  </si>
  <si>
    <t>PF</t>
  </si>
  <si>
    <t>PLD mono</t>
  </si>
  <si>
    <t>Pola-R-CHP</t>
  </si>
  <si>
    <t>Pom-Dex</t>
  </si>
  <si>
    <t>Ramucirumab + Paclitaxel</t>
  </si>
  <si>
    <t>R-CVP</t>
  </si>
  <si>
    <t>Ribociclib + Letrozol</t>
  </si>
  <si>
    <t>Streptozocin + 5-FU</t>
  </si>
  <si>
    <t>TAC</t>
  </si>
  <si>
    <t>TAD</t>
  </si>
  <si>
    <t>T-DM1</t>
  </si>
  <si>
    <t>T-DXd</t>
  </si>
  <si>
    <t>THP</t>
  </si>
  <si>
    <t>Topotecan mono</t>
  </si>
  <si>
    <t>Trifluridin + Tipiracil</t>
  </si>
  <si>
    <t>VAC</t>
  </si>
  <si>
    <t>Vd</t>
  </si>
  <si>
    <t>VeIP</t>
  </si>
  <si>
    <t>Venetoclax + Obinutuzumab</t>
  </si>
  <si>
    <t>Venetoclax + Rituximab</t>
  </si>
  <si>
    <t>VIDE</t>
  </si>
  <si>
    <t>Regimen</t>
  </si>
  <si>
    <t>ValidityCriteria</t>
  </si>
  <si>
    <t>MIN-1-FROM(Regimen,Substance)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</si>
</sst>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3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J15" sqref="J15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2233</v>
      </c>
      <c r="B3" s="2" t="s">
        <v>2187</v>
      </c>
      <c r="C3" s="2" t="s">
        <v>2188</v>
      </c>
      <c r="D3" s="2" t="s">
        <v>2395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2394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2388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2394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2394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2394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2394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2394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2394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2396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2394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2394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2394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2394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2394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E1" zoomScale="85" workbookViewId="0">
      <pane ySplit="3" topLeftCell="A4" activePane="bottomLeft" state="frozen"/>
      <selection pane="bottomLeft" activeCell="G138" sqref="G138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2233</v>
      </c>
      <c r="C3" s="2" t="s">
        <v>2187</v>
      </c>
      <c r="D3" s="2" t="s">
        <v>2188</v>
      </c>
      <c r="E3" s="2" t="s">
        <v>379</v>
      </c>
      <c r="F3" s="2" t="s">
        <v>2189</v>
      </c>
      <c r="G3" s="2" t="s">
        <v>2190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2417</v>
      </c>
      <c r="N3" s="2" t="s">
        <v>2416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2182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2182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2183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2182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2182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2182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2182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2182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2184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2182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2182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2182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2182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2182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2183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2182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2182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2182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2182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2182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2182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2182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2182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2182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2183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2182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2182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2237</v>
      </c>
      <c r="G31" s="3" t="s">
        <v>2238</v>
      </c>
      <c r="H31" s="3" t="s">
        <v>652</v>
      </c>
      <c r="I31" s="3" t="s">
        <v>652</v>
      </c>
      <c r="J31" s="3" t="s">
        <v>1440</v>
      </c>
      <c r="K31" s="3" t="s">
        <v>2182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2182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2182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2182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2182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2182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2183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2185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2182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2182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2182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2183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2182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2182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2182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2182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2184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2184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2184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2184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2182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2182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2182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2183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2186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2182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2182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2182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2182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2183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2182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2182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2182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2182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2182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2182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2183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2182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2182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2182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2182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2182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2183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2181</v>
      </c>
      <c r="H74" s="3" t="s">
        <v>652</v>
      </c>
      <c r="I74" s="3" t="s">
        <v>652</v>
      </c>
      <c r="J74" s="3" t="s">
        <v>1540</v>
      </c>
      <c r="K74" s="3" t="s">
        <v>2182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2183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2182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2182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2182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2182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2182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2182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2182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2182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2183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2183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2182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2182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2182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2182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2184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2182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2184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2182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2182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2182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2182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2182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2182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2182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2182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2182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2183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2182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2195</v>
      </c>
      <c r="H104" s="3" t="s">
        <v>652</v>
      </c>
      <c r="I104" s="3" t="s">
        <v>652</v>
      </c>
      <c r="J104" s="3" t="s">
        <v>1540</v>
      </c>
      <c r="K104" s="3" t="s">
        <v>2182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2196</v>
      </c>
      <c r="H105" s="3" t="s">
        <v>652</v>
      </c>
      <c r="I105" s="3" t="s">
        <v>652</v>
      </c>
      <c r="J105" s="3" t="s">
        <v>1540</v>
      </c>
      <c r="K105" s="3" t="s">
        <v>2182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2197</v>
      </c>
      <c r="H106" s="3" t="s">
        <v>652</v>
      </c>
      <c r="I106" s="3" t="s">
        <v>652</v>
      </c>
      <c r="J106" s="3" t="s">
        <v>1540</v>
      </c>
      <c r="K106" s="3" t="s">
        <v>2182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2198</v>
      </c>
      <c r="H107" s="3" t="s">
        <v>652</v>
      </c>
      <c r="I107" s="3" t="s">
        <v>652</v>
      </c>
      <c r="J107" s="3" t="s">
        <v>1540</v>
      </c>
      <c r="K107" s="3" t="s">
        <v>2182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2199</v>
      </c>
      <c r="H108" s="3" t="s">
        <v>652</v>
      </c>
      <c r="I108" s="3" t="s">
        <v>652</v>
      </c>
      <c r="J108" s="3" t="s">
        <v>1540</v>
      </c>
      <c r="K108" s="3" t="s">
        <v>2182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2200</v>
      </c>
      <c r="H109" s="3" t="s">
        <v>652</v>
      </c>
      <c r="I109" s="3" t="s">
        <v>652</v>
      </c>
      <c r="J109" s="3" t="s">
        <v>1540</v>
      </c>
      <c r="K109" s="3" t="s">
        <v>2182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2201</v>
      </c>
      <c r="H110" s="3" t="s">
        <v>652</v>
      </c>
      <c r="I110" s="3" t="s">
        <v>652</v>
      </c>
      <c r="J110" s="3" t="s">
        <v>1540</v>
      </c>
      <c r="K110" s="3" t="s">
        <v>2182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2202</v>
      </c>
      <c r="H111" s="3" t="s">
        <v>652</v>
      </c>
      <c r="I111" s="3" t="s">
        <v>652</v>
      </c>
      <c r="J111" s="3" t="s">
        <v>1540</v>
      </c>
      <c r="K111" s="3" t="s">
        <v>2182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2203</v>
      </c>
      <c r="H112" s="3" t="s">
        <v>652</v>
      </c>
      <c r="I112" s="3" t="s">
        <v>652</v>
      </c>
      <c r="J112" s="3" t="s">
        <v>1540</v>
      </c>
      <c r="K112" s="3" t="s">
        <v>2182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2182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2204</v>
      </c>
      <c r="H114" s="3" t="s">
        <v>652</v>
      </c>
      <c r="I114" s="3" t="s">
        <v>652</v>
      </c>
      <c r="J114" s="3" t="s">
        <v>1540</v>
      </c>
      <c r="K114" s="3" t="s">
        <v>2182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2205</v>
      </c>
      <c r="H115" s="3" t="s">
        <v>652</v>
      </c>
      <c r="I115" s="3" t="s">
        <v>652</v>
      </c>
      <c r="J115" s="3" t="s">
        <v>1540</v>
      </c>
      <c r="K115" s="3" t="s">
        <v>2182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2206</v>
      </c>
      <c r="H116" s="3" t="s">
        <v>652</v>
      </c>
      <c r="I116" s="3" t="s">
        <v>652</v>
      </c>
      <c r="J116" s="3" t="s">
        <v>1540</v>
      </c>
      <c r="K116" s="3" t="s">
        <v>2182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2207</v>
      </c>
      <c r="H117" s="3" t="s">
        <v>652</v>
      </c>
      <c r="I117" s="3" t="s">
        <v>652</v>
      </c>
      <c r="J117" s="3" t="s">
        <v>1540</v>
      </c>
      <c r="K117" s="3" t="s">
        <v>2182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2182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2182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2182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2182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2241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2182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2183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2182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2182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2182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2182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2182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2182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2182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2182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2182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2182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2182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2183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2183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2613</v>
      </c>
      <c r="H137" s="3" t="s">
        <v>652</v>
      </c>
      <c r="I137" s="3" t="s">
        <v>652</v>
      </c>
      <c r="J137" s="3" t="s">
        <v>1540</v>
      </c>
      <c r="K137" s="3" t="s">
        <v>2182</v>
      </c>
      <c r="L137" s="3" t="s">
        <v>651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2134</v>
      </c>
      <c r="H138" s="3" t="s">
        <v>652</v>
      </c>
      <c r="I138" s="3" t="s">
        <v>652</v>
      </c>
      <c r="J138" s="3" t="s">
        <v>1540</v>
      </c>
      <c r="K138" s="3" t="s">
        <v>2182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2186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2186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2186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2186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2186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2182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2182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2182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2182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2182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2182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2182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2183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2182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2182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2" priority="4" operator="equal">
      <formula>"FALSE"</formula>
    </cfRule>
    <cfRule type="cellIs" dxfId="61" priority="5" operator="equal">
      <formula>"TRUE"</formula>
    </cfRule>
  </conditionalFormatting>
  <conditionalFormatting sqref="J4:J153">
    <cfRule type="cellIs" dxfId="60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2383</v>
      </c>
      <c r="B3" s="2" t="s">
        <v>551</v>
      </c>
      <c r="C3" s="2" t="s">
        <v>2384</v>
      </c>
      <c r="D3" s="2" t="s">
        <v>2386</v>
      </c>
      <c r="E3" s="2" t="s">
        <v>2385</v>
      </c>
      <c r="F3" s="2" t="s">
        <v>2387</v>
      </c>
    </row>
    <row r="4" spans="1:6" ht="25.2" customHeight="1" x14ac:dyDescent="0.3">
      <c r="A4" s="28">
        <v>1</v>
      </c>
      <c r="B4" s="62" t="s">
        <v>2397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2397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2397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2397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2397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2397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2397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2397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2397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2397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2397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2397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2397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2389</v>
      </c>
      <c r="B3" s="2" t="s">
        <v>2383</v>
      </c>
      <c r="C3" s="2" t="s">
        <v>2386</v>
      </c>
      <c r="D3" s="2" t="s">
        <v>2387</v>
      </c>
      <c r="E3" s="2" t="s">
        <v>2390</v>
      </c>
      <c r="F3" s="2" t="s">
        <v>2392</v>
      </c>
      <c r="G3" s="2" t="s">
        <v>2391</v>
      </c>
      <c r="H3" s="2" t="s">
        <v>2393</v>
      </c>
      <c r="I3" s="2" t="s">
        <v>2398</v>
      </c>
      <c r="J3" s="2" t="s">
        <v>2399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59" priority="152">
      <formula>AND(NOT(ISBLANK($J1)),($C1&lt;&gt;$I1))</formula>
    </cfRule>
    <cfRule type="expression" dxfId="58" priority="153">
      <formula>AND(NOT(ISBLANK($J1)),($C1=$I1))</formula>
    </cfRule>
  </conditionalFormatting>
  <conditionalFormatting sqref="J1 J4:J1048576">
    <cfRule type="expression" dxfId="57" priority="148">
      <formula>AND(NOT(ISBLANK($J1)),($D1&lt;&gt;$J1))</formula>
    </cfRule>
    <cfRule type="expression" dxfId="56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542"/>
  <sheetViews>
    <sheetView zoomScale="79" workbookViewId="0">
      <pane xSplit="4" ySplit="3" topLeftCell="E7" activePane="bottomRight" state="frozen"/>
      <selection pane="topRight" activeCell="D1" sqref="D1"/>
      <selection pane="bottomLeft" activeCell="A2" sqref="A2"/>
      <selection pane="bottomRight" activeCell="E1398" sqref="E1398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52.109375" style="3" customWidth="1"/>
    <col min="7" max="7" width="43.441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2189</v>
      </c>
      <c r="D3" s="30" t="s">
        <v>2190</v>
      </c>
      <c r="E3" s="32" t="s">
        <v>191</v>
      </c>
      <c r="F3" s="32" t="s">
        <v>2191</v>
      </c>
      <c r="G3" s="32" t="s">
        <v>2192</v>
      </c>
      <c r="H3" s="35" t="s">
        <v>2193</v>
      </c>
      <c r="I3" s="36" t="s">
        <v>2194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2234</v>
      </c>
      <c r="H136" s="6" t="s">
        <v>2235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2246</v>
      </c>
      <c r="G142" s="5" t="s">
        <v>2247</v>
      </c>
      <c r="H142" s="7" t="s">
        <v>2248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2242</v>
      </c>
      <c r="G449" s="3" t="s">
        <v>2242</v>
      </c>
      <c r="H449" s="1" t="s">
        <v>2243</v>
      </c>
      <c r="I449" s="1" t="s">
        <v>2243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2244</v>
      </c>
      <c r="G450" s="3" t="s">
        <v>2244</v>
      </c>
      <c r="H450" s="1" t="s">
        <v>2245</v>
      </c>
      <c r="I450" s="1" t="s">
        <v>2245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2242</v>
      </c>
      <c r="G453" s="3" t="s">
        <v>2242</v>
      </c>
      <c r="H453" s="1" t="s">
        <v>2243</v>
      </c>
      <c r="I453" s="1" t="s">
        <v>2243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2244</v>
      </c>
      <c r="G454" s="3" t="s">
        <v>2244</v>
      </c>
      <c r="H454" s="1" t="s">
        <v>2245</v>
      </c>
      <c r="I454" s="1" t="s">
        <v>2245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2382</v>
      </c>
      <c r="G727" s="3" t="s">
        <v>2382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Regimen</v>
      </c>
      <c r="E737" s="26" t="str">
        <f>VLOOKUP(A737,Meta.Features!$A:$K,$E$1,FALSE)</f>
        <v>Nominal</v>
      </c>
      <c r="F737" s="3" t="s">
        <v>2525</v>
      </c>
      <c r="G737" s="3" t="s">
        <v>2525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Regimen</v>
      </c>
      <c r="E738" s="26" t="str">
        <f>VLOOKUP(A738,Meta.Features!$A:$K,$E$1,FALSE)</f>
        <v>Nominal</v>
      </c>
      <c r="F738" s="3" t="s">
        <v>2526</v>
      </c>
      <c r="G738" s="3" t="s">
        <v>2526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Regimen</v>
      </c>
      <c r="E739" s="26" t="str">
        <f>VLOOKUP(A739,Meta.Features!$A:$K,$E$1,FALSE)</f>
        <v>Nominal</v>
      </c>
      <c r="F739" s="3" t="s">
        <v>2527</v>
      </c>
      <c r="G739" s="3" t="s">
        <v>2527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Regimen</v>
      </c>
      <c r="E740" s="26" t="str">
        <f>VLOOKUP(A740,Meta.Features!$A:$K,$E$1,FALSE)</f>
        <v>Nominal</v>
      </c>
      <c r="F740" s="3" t="s">
        <v>2280</v>
      </c>
      <c r="G740" s="3" t="s">
        <v>2280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Regimen</v>
      </c>
      <c r="E741" s="26" t="str">
        <f>VLOOKUP(A741,Meta.Features!$A:$K,$E$1,FALSE)</f>
        <v>Nominal</v>
      </c>
      <c r="F741" s="3" t="s">
        <v>2281</v>
      </c>
      <c r="G741" s="3" t="s">
        <v>2281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Regimen</v>
      </c>
      <c r="E742" s="26" t="str">
        <f>VLOOKUP(A742,Meta.Features!$A:$K,$E$1,FALSE)</f>
        <v>Nominal</v>
      </c>
      <c r="F742" s="3" t="s">
        <v>2282</v>
      </c>
      <c r="G742" s="3" t="s">
        <v>2282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Regimen</v>
      </c>
      <c r="E743" s="26" t="str">
        <f>VLOOKUP(A743,Meta.Features!$A:$K,$E$1,FALSE)</f>
        <v>Nominal</v>
      </c>
      <c r="F743" s="3" t="s">
        <v>2283</v>
      </c>
      <c r="G743" s="3" t="s">
        <v>2283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Regimen</v>
      </c>
      <c r="E744" s="26" t="str">
        <f>VLOOKUP(A744,Meta.Features!$A:$K,$E$1,FALSE)</f>
        <v>Nominal</v>
      </c>
      <c r="F744" s="3" t="s">
        <v>2528</v>
      </c>
      <c r="G744" s="3" t="s">
        <v>2528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Regimen</v>
      </c>
      <c r="E745" s="26" t="str">
        <f>VLOOKUP(A745,Meta.Features!$A:$K,$E$1,FALSE)</f>
        <v>Nominal</v>
      </c>
      <c r="F745" s="3" t="s">
        <v>2284</v>
      </c>
      <c r="G745" s="3" t="s">
        <v>2284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Regimen</v>
      </c>
      <c r="E746" s="26" t="str">
        <f>VLOOKUP(A746,Meta.Features!$A:$K,$E$1,FALSE)</f>
        <v>Nominal</v>
      </c>
      <c r="F746" s="3" t="s">
        <v>1729</v>
      </c>
      <c r="G746" s="3" t="s">
        <v>1729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Regimen</v>
      </c>
      <c r="E747" s="26" t="str">
        <f>VLOOKUP(A747,Meta.Features!$A:$K,$E$1,FALSE)</f>
        <v>Nominal</v>
      </c>
      <c r="F747" s="3" t="s">
        <v>1957</v>
      </c>
      <c r="G747" s="3" t="s">
        <v>1957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Regimen</v>
      </c>
      <c r="E748" s="26" t="str">
        <f>VLOOKUP(A748,Meta.Features!$A:$K,$E$1,FALSE)</f>
        <v>Nominal</v>
      </c>
      <c r="F748" s="3" t="s">
        <v>1953</v>
      </c>
      <c r="G748" s="3" t="s">
        <v>1953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Regimen</v>
      </c>
      <c r="E749" s="26" t="str">
        <f>VLOOKUP(A749,Meta.Features!$A:$K,$E$1,FALSE)</f>
        <v>Nominal</v>
      </c>
      <c r="F749" s="3" t="s">
        <v>2529</v>
      </c>
      <c r="G749" s="3" t="s">
        <v>2529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Regimen</v>
      </c>
      <c r="E750" s="26" t="str">
        <f>VLOOKUP(A750,Meta.Features!$A:$K,$E$1,FALSE)</f>
        <v>Nominal</v>
      </c>
      <c r="F750" s="3" t="s">
        <v>2530</v>
      </c>
      <c r="G750" s="3" t="s">
        <v>2530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Regimen</v>
      </c>
      <c r="E751" s="26" t="str">
        <f>VLOOKUP(A751,Meta.Features!$A:$K,$E$1,FALSE)</f>
        <v>Nominal</v>
      </c>
      <c r="F751" s="3" t="s">
        <v>2531</v>
      </c>
      <c r="G751" s="3" t="s">
        <v>2531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Regimen</v>
      </c>
      <c r="E752" s="26" t="str">
        <f>VLOOKUP(A752,Meta.Features!$A:$K,$E$1,FALSE)</f>
        <v>Nominal</v>
      </c>
      <c r="F752" s="3" t="s">
        <v>2285</v>
      </c>
      <c r="G752" s="3" t="s">
        <v>2285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Regimen</v>
      </c>
      <c r="E753" s="26" t="str">
        <f>VLOOKUP(A753,Meta.Features!$A:$K,$E$1,FALSE)</f>
        <v>Nominal</v>
      </c>
      <c r="F753" s="3" t="s">
        <v>2532</v>
      </c>
      <c r="G753" s="3" t="s">
        <v>2532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Regimen</v>
      </c>
      <c r="E754" s="26" t="str">
        <f>VLOOKUP(A754,Meta.Features!$A:$K,$E$1,FALSE)</f>
        <v>Nominal</v>
      </c>
      <c r="F754" s="3" t="s">
        <v>2533</v>
      </c>
      <c r="G754" s="3" t="s">
        <v>2533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Regimen</v>
      </c>
      <c r="E755" s="26" t="str">
        <f>VLOOKUP(A755,Meta.Features!$A:$K,$E$1,FALSE)</f>
        <v>Nominal</v>
      </c>
      <c r="F755" s="3" t="s">
        <v>2534</v>
      </c>
      <c r="G755" s="3" t="s">
        <v>2534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Regimen</v>
      </c>
      <c r="E756" s="26" t="str">
        <f>VLOOKUP(A756,Meta.Features!$A:$K,$E$1,FALSE)</f>
        <v>Nominal</v>
      </c>
      <c r="F756" s="3" t="s">
        <v>2535</v>
      </c>
      <c r="G756" s="3" t="s">
        <v>2535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Regimen</v>
      </c>
      <c r="E757" s="26" t="str">
        <f>VLOOKUP(A757,Meta.Features!$A:$K,$E$1,FALSE)</f>
        <v>Nominal</v>
      </c>
      <c r="F757" s="3" t="s">
        <v>2286</v>
      </c>
      <c r="G757" s="3" t="s">
        <v>2286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Regimen</v>
      </c>
      <c r="E758" s="26" t="str">
        <f>VLOOKUP(A758,Meta.Features!$A:$K,$E$1,FALSE)</f>
        <v>Nominal</v>
      </c>
      <c r="F758" s="3" t="s">
        <v>2536</v>
      </c>
      <c r="G758" s="3" t="s">
        <v>2536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Regimen</v>
      </c>
      <c r="E759" s="26" t="str">
        <f>VLOOKUP(A759,Meta.Features!$A:$K,$E$1,FALSE)</f>
        <v>Nominal</v>
      </c>
      <c r="F759" s="3" t="s">
        <v>1951</v>
      </c>
      <c r="G759" s="3" t="s">
        <v>1951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Regimen</v>
      </c>
      <c r="E760" s="26" t="str">
        <f>VLOOKUP(A760,Meta.Features!$A:$K,$E$1,FALSE)</f>
        <v>Nominal</v>
      </c>
      <c r="F760" s="3" t="s">
        <v>1827</v>
      </c>
      <c r="G760" s="3" t="s">
        <v>1827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Regimen</v>
      </c>
      <c r="E761" s="26" t="str">
        <f>VLOOKUP(A761,Meta.Features!$A:$K,$E$1,FALSE)</f>
        <v>Nominal</v>
      </c>
      <c r="F761" s="3" t="s">
        <v>2287</v>
      </c>
      <c r="G761" s="3" t="s">
        <v>2287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Regimen</v>
      </c>
      <c r="E762" s="26" t="str">
        <f>VLOOKUP(A762,Meta.Features!$A:$K,$E$1,FALSE)</f>
        <v>Nominal</v>
      </c>
      <c r="F762" s="3" t="s">
        <v>2288</v>
      </c>
      <c r="G762" s="3" t="s">
        <v>2288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Regimen</v>
      </c>
      <c r="E763" s="26" t="str">
        <f>VLOOKUP(A763,Meta.Features!$A:$K,$E$1,FALSE)</f>
        <v>Nominal</v>
      </c>
      <c r="F763" s="3" t="s">
        <v>2289</v>
      </c>
      <c r="G763" s="3" t="s">
        <v>2289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Regimen</v>
      </c>
      <c r="E764" s="26" t="str">
        <f>VLOOKUP(A764,Meta.Features!$A:$K,$E$1,FALSE)</f>
        <v>Nominal</v>
      </c>
      <c r="F764" s="3" t="s">
        <v>2537</v>
      </c>
      <c r="G764" s="3" t="s">
        <v>2537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Regimen</v>
      </c>
      <c r="E765" s="26" t="str">
        <f>VLOOKUP(A765,Meta.Features!$A:$K,$E$1,FALSE)</f>
        <v>Nominal</v>
      </c>
      <c r="F765" s="3" t="s">
        <v>2290</v>
      </c>
      <c r="G765" s="3" t="s">
        <v>2290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Regimen</v>
      </c>
      <c r="E766" s="26" t="str">
        <f>VLOOKUP(A766,Meta.Features!$A:$K,$E$1,FALSE)</f>
        <v>Nominal</v>
      </c>
      <c r="F766" s="3" t="s">
        <v>2538</v>
      </c>
      <c r="G766" s="3" t="s">
        <v>2538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Regimen</v>
      </c>
      <c r="E767" s="26" t="str">
        <f>VLOOKUP(A767,Meta.Features!$A:$K,$E$1,FALSE)</f>
        <v>Nominal</v>
      </c>
      <c r="F767" s="3" t="s">
        <v>1774</v>
      </c>
      <c r="G767" s="3" t="s">
        <v>1774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Regimen</v>
      </c>
      <c r="E768" s="26" t="str">
        <f>VLOOKUP(A768,Meta.Features!$A:$K,$E$1,FALSE)</f>
        <v>Nominal</v>
      </c>
      <c r="F768" s="3" t="s">
        <v>2291</v>
      </c>
      <c r="G768" s="3" t="s">
        <v>2291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Regimen</v>
      </c>
      <c r="E769" s="26" t="str">
        <f>VLOOKUP(A769,Meta.Features!$A:$K,$E$1,FALSE)</f>
        <v>Nominal</v>
      </c>
      <c r="F769" s="3" t="s">
        <v>2539</v>
      </c>
      <c r="G769" s="3" t="s">
        <v>2539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Regimen</v>
      </c>
      <c r="E770" s="26" t="str">
        <f>VLOOKUP(A770,Meta.Features!$A:$K,$E$1,FALSE)</f>
        <v>Nominal</v>
      </c>
      <c r="F770" s="3" t="s">
        <v>2540</v>
      </c>
      <c r="G770" s="3" t="s">
        <v>2540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Regimen</v>
      </c>
      <c r="E771" s="26" t="str">
        <f>VLOOKUP(A771,Meta.Features!$A:$K,$E$1,FALSE)</f>
        <v>Nominal</v>
      </c>
      <c r="F771" s="3" t="s">
        <v>2541</v>
      </c>
      <c r="G771" s="3" t="s">
        <v>2541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Regimen</v>
      </c>
      <c r="E772" s="26" t="str">
        <f>VLOOKUP(A772,Meta.Features!$A:$K,$E$1,FALSE)</f>
        <v>Nominal</v>
      </c>
      <c r="F772" s="3" t="s">
        <v>2542</v>
      </c>
      <c r="G772" s="3" t="s">
        <v>2542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Regimen</v>
      </c>
      <c r="E773" s="26" t="str">
        <f>VLOOKUP(A773,Meta.Features!$A:$K,$E$1,FALSE)</f>
        <v>Nominal</v>
      </c>
      <c r="F773" s="3" t="s">
        <v>2543</v>
      </c>
      <c r="G773" s="3" t="s">
        <v>2543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Regimen</v>
      </c>
      <c r="E774" s="26" t="str">
        <f>VLOOKUP(A774,Meta.Features!$A:$K,$E$1,FALSE)</f>
        <v>Nominal</v>
      </c>
      <c r="F774" s="3" t="s">
        <v>2292</v>
      </c>
      <c r="G774" s="3" t="s">
        <v>2292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Regimen</v>
      </c>
      <c r="E775" s="26" t="str">
        <f>VLOOKUP(A775,Meta.Features!$A:$K,$E$1,FALSE)</f>
        <v>Nominal</v>
      </c>
      <c r="F775" s="3" t="s">
        <v>2544</v>
      </c>
      <c r="G775" s="3" t="s">
        <v>2544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Regimen</v>
      </c>
      <c r="E776" s="26" t="str">
        <f>VLOOKUP(A776,Meta.Features!$A:$K,$E$1,FALSE)</f>
        <v>Nominal</v>
      </c>
      <c r="F776" s="3" t="s">
        <v>2293</v>
      </c>
      <c r="G776" s="3" t="s">
        <v>2293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Regimen</v>
      </c>
      <c r="E777" s="26" t="str">
        <f>VLOOKUP(A777,Meta.Features!$A:$K,$E$1,FALSE)</f>
        <v>Nominal</v>
      </c>
      <c r="F777" s="3" t="s">
        <v>2294</v>
      </c>
      <c r="G777" s="3" t="s">
        <v>2294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Regimen</v>
      </c>
      <c r="E778" s="26" t="str">
        <f>VLOOKUP(A778,Meta.Features!$A:$K,$E$1,FALSE)</f>
        <v>Nominal</v>
      </c>
      <c r="F778" s="3" t="s">
        <v>2545</v>
      </c>
      <c r="G778" s="3" t="s">
        <v>2545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Regimen</v>
      </c>
      <c r="E779" s="26" t="str">
        <f>VLOOKUP(A779,Meta.Features!$A:$K,$E$1,FALSE)</f>
        <v>Nominal</v>
      </c>
      <c r="F779" s="3" t="s">
        <v>2546</v>
      </c>
      <c r="G779" s="3" t="s">
        <v>2546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Regimen</v>
      </c>
      <c r="E780" s="26" t="str">
        <f>VLOOKUP(A780,Meta.Features!$A:$K,$E$1,FALSE)</f>
        <v>Nominal</v>
      </c>
      <c r="F780" s="3" t="s">
        <v>2295</v>
      </c>
      <c r="G780" s="3" t="s">
        <v>2295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Regimen</v>
      </c>
      <c r="E781" s="26" t="str">
        <f>VLOOKUP(A781,Meta.Features!$A:$K,$E$1,FALSE)</f>
        <v>Nominal</v>
      </c>
      <c r="F781" s="3" t="s">
        <v>2296</v>
      </c>
      <c r="G781" s="3" t="s">
        <v>2296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Regimen</v>
      </c>
      <c r="E782" s="26" t="str">
        <f>VLOOKUP(A782,Meta.Features!$A:$K,$E$1,FALSE)</f>
        <v>Nominal</v>
      </c>
      <c r="F782" s="3" t="s">
        <v>2274</v>
      </c>
      <c r="G782" s="3" t="s">
        <v>2274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Regimen</v>
      </c>
      <c r="E783" s="26" t="str">
        <f>VLOOKUP(A783,Meta.Features!$A:$K,$E$1,FALSE)</f>
        <v>Nominal</v>
      </c>
      <c r="F783" s="3" t="s">
        <v>2547</v>
      </c>
      <c r="G783" s="3" t="s">
        <v>2547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Regimen</v>
      </c>
      <c r="E784" s="26" t="str">
        <f>VLOOKUP(A784,Meta.Features!$A:$K,$E$1,FALSE)</f>
        <v>Nominal</v>
      </c>
      <c r="F784" s="3" t="s">
        <v>2297</v>
      </c>
      <c r="G784" s="3" t="s">
        <v>2297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Regimen</v>
      </c>
      <c r="E785" s="26" t="str">
        <f>VLOOKUP(A785,Meta.Features!$A:$K,$E$1,FALSE)</f>
        <v>Nominal</v>
      </c>
      <c r="F785" s="3" t="s">
        <v>2298</v>
      </c>
      <c r="G785" s="3" t="s">
        <v>2298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Regimen</v>
      </c>
      <c r="E786" s="26" t="str">
        <f>VLOOKUP(A786,Meta.Features!$A:$K,$E$1,FALSE)</f>
        <v>Nominal</v>
      </c>
      <c r="F786" s="3" t="s">
        <v>2548</v>
      </c>
      <c r="G786" s="3" t="s">
        <v>2548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Regimen</v>
      </c>
      <c r="E787" s="26" t="str">
        <f>VLOOKUP(A787,Meta.Features!$A:$K,$E$1,FALSE)</f>
        <v>Nominal</v>
      </c>
      <c r="F787" s="3" t="s">
        <v>1954</v>
      </c>
      <c r="G787" s="3" t="s">
        <v>1954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Regimen</v>
      </c>
      <c r="E788" s="26" t="str">
        <f>VLOOKUP(A788,Meta.Features!$A:$K,$E$1,FALSE)</f>
        <v>Nominal</v>
      </c>
      <c r="F788" s="3" t="s">
        <v>1708</v>
      </c>
      <c r="G788" s="3" t="s">
        <v>1708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Regimen</v>
      </c>
      <c r="E789" s="26" t="str">
        <f>VLOOKUP(A789,Meta.Features!$A:$K,$E$1,FALSE)</f>
        <v>Nominal</v>
      </c>
      <c r="F789" s="3" t="s">
        <v>2299</v>
      </c>
      <c r="G789" s="3" t="s">
        <v>2299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Regimen</v>
      </c>
      <c r="E790" s="26" t="str">
        <f>VLOOKUP(A790,Meta.Features!$A:$K,$E$1,FALSE)</f>
        <v>Nominal</v>
      </c>
      <c r="F790" s="3" t="s">
        <v>2300</v>
      </c>
      <c r="G790" s="3" t="s">
        <v>2300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Regimen</v>
      </c>
      <c r="E791" s="26" t="str">
        <f>VLOOKUP(A791,Meta.Features!$A:$K,$E$1,FALSE)</f>
        <v>Nominal</v>
      </c>
      <c r="F791" s="3" t="s">
        <v>1963</v>
      </c>
      <c r="G791" s="3" t="s">
        <v>1963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Regimen</v>
      </c>
      <c r="E792" s="26" t="str">
        <f>VLOOKUP(A792,Meta.Features!$A:$K,$E$1,FALSE)</f>
        <v>Nominal</v>
      </c>
      <c r="F792" s="3" t="s">
        <v>2301</v>
      </c>
      <c r="G792" s="3" t="s">
        <v>2301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Regimen</v>
      </c>
      <c r="E793" s="26" t="str">
        <f>VLOOKUP(A793,Meta.Features!$A:$K,$E$1,FALSE)</f>
        <v>Nominal</v>
      </c>
      <c r="F793" s="3" t="s">
        <v>2302</v>
      </c>
      <c r="G793" s="3" t="s">
        <v>2302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Regimen</v>
      </c>
      <c r="E794" s="26" t="str">
        <f>VLOOKUP(A794,Meta.Features!$A:$K,$E$1,FALSE)</f>
        <v>Nominal</v>
      </c>
      <c r="F794" s="3" t="s">
        <v>2303</v>
      </c>
      <c r="G794" s="3" t="s">
        <v>2303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Regimen</v>
      </c>
      <c r="E795" s="26" t="str">
        <f>VLOOKUP(A795,Meta.Features!$A:$K,$E$1,FALSE)</f>
        <v>Nominal</v>
      </c>
      <c r="F795" s="3" t="s">
        <v>2549</v>
      </c>
      <c r="G795" s="3" t="s">
        <v>2549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Regimen</v>
      </c>
      <c r="E796" s="26" t="str">
        <f>VLOOKUP(A796,Meta.Features!$A:$K,$E$1,FALSE)</f>
        <v>Nominal</v>
      </c>
      <c r="F796" s="3" t="s">
        <v>2550</v>
      </c>
      <c r="G796" s="3" t="s">
        <v>2550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Regimen</v>
      </c>
      <c r="E797" s="26" t="str">
        <f>VLOOKUP(A797,Meta.Features!$A:$K,$E$1,FALSE)</f>
        <v>Nominal</v>
      </c>
      <c r="F797" s="3" t="s">
        <v>2304</v>
      </c>
      <c r="G797" s="3" t="s">
        <v>2304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Regimen</v>
      </c>
      <c r="E798" s="26" t="str">
        <f>VLOOKUP(A798,Meta.Features!$A:$K,$E$1,FALSE)</f>
        <v>Nominal</v>
      </c>
      <c r="F798" s="3" t="s">
        <v>2551</v>
      </c>
      <c r="G798" s="3" t="s">
        <v>2551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Regimen</v>
      </c>
      <c r="E799" s="26" t="str">
        <f>VLOOKUP(A799,Meta.Features!$A:$K,$E$1,FALSE)</f>
        <v>Nominal</v>
      </c>
      <c r="F799" s="3" t="s">
        <v>2552</v>
      </c>
      <c r="G799" s="3" t="s">
        <v>2552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Regimen</v>
      </c>
      <c r="E800" s="26" t="str">
        <f>VLOOKUP(A800,Meta.Features!$A:$K,$E$1,FALSE)</f>
        <v>Nominal</v>
      </c>
      <c r="F800" s="3" t="s">
        <v>2553</v>
      </c>
      <c r="G800" s="3" t="s">
        <v>2553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Regimen</v>
      </c>
      <c r="E801" s="26" t="str">
        <f>VLOOKUP(A801,Meta.Features!$A:$K,$E$1,FALSE)</f>
        <v>Nominal</v>
      </c>
      <c r="F801" s="3" t="s">
        <v>2554</v>
      </c>
      <c r="G801" s="3" t="s">
        <v>2554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Regimen</v>
      </c>
      <c r="E802" s="26" t="str">
        <f>VLOOKUP(A802,Meta.Features!$A:$K,$E$1,FALSE)</f>
        <v>Nominal</v>
      </c>
      <c r="F802" s="3" t="s">
        <v>2555</v>
      </c>
      <c r="G802" s="3" t="s">
        <v>2555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Regimen</v>
      </c>
      <c r="E803" s="26" t="str">
        <f>VLOOKUP(A803,Meta.Features!$A:$K,$E$1,FALSE)</f>
        <v>Nominal</v>
      </c>
      <c r="F803" s="3" t="s">
        <v>2556</v>
      </c>
      <c r="G803" s="3" t="s">
        <v>2556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Regimen</v>
      </c>
      <c r="E804" s="26" t="str">
        <f>VLOOKUP(A804,Meta.Features!$A:$K,$E$1,FALSE)</f>
        <v>Nominal</v>
      </c>
      <c r="F804" s="3" t="s">
        <v>2305</v>
      </c>
      <c r="G804" s="3" t="s">
        <v>2305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Regimen</v>
      </c>
      <c r="E805" s="26" t="str">
        <f>VLOOKUP(A805,Meta.Features!$A:$K,$E$1,FALSE)</f>
        <v>Nominal</v>
      </c>
      <c r="F805" s="3" t="s">
        <v>2557</v>
      </c>
      <c r="G805" s="3" t="s">
        <v>2557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Regimen</v>
      </c>
      <c r="E806" s="26" t="str">
        <f>VLOOKUP(A806,Meta.Features!$A:$K,$E$1,FALSE)</f>
        <v>Nominal</v>
      </c>
      <c r="F806" s="3" t="s">
        <v>2306</v>
      </c>
      <c r="G806" s="3" t="s">
        <v>2306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Regimen</v>
      </c>
      <c r="E807" s="26" t="str">
        <f>VLOOKUP(A807,Meta.Features!$A:$K,$E$1,FALSE)</f>
        <v>Nominal</v>
      </c>
      <c r="F807" s="3" t="s">
        <v>2307</v>
      </c>
      <c r="G807" s="3" t="s">
        <v>2307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Regimen</v>
      </c>
      <c r="E808" s="26" t="str">
        <f>VLOOKUP(A808,Meta.Features!$A:$K,$E$1,FALSE)</f>
        <v>Nominal</v>
      </c>
      <c r="F808" s="3" t="s">
        <v>2308</v>
      </c>
      <c r="G808" s="3" t="s">
        <v>2308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Regimen</v>
      </c>
      <c r="E809" s="26" t="str">
        <f>VLOOKUP(A809,Meta.Features!$A:$K,$E$1,FALSE)</f>
        <v>Nominal</v>
      </c>
      <c r="F809" s="3" t="s">
        <v>2309</v>
      </c>
      <c r="G809" s="3" t="s">
        <v>2309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Regimen</v>
      </c>
      <c r="E810" s="26" t="str">
        <f>VLOOKUP(A810,Meta.Features!$A:$K,$E$1,FALSE)</f>
        <v>Nominal</v>
      </c>
      <c r="F810" s="3" t="s">
        <v>2310</v>
      </c>
      <c r="G810" s="3" t="s">
        <v>2310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Regimen</v>
      </c>
      <c r="E811" s="26" t="str">
        <f>VLOOKUP(A811,Meta.Features!$A:$K,$E$1,FALSE)</f>
        <v>Nominal</v>
      </c>
      <c r="F811" s="3" t="s">
        <v>2558</v>
      </c>
      <c r="G811" s="3" t="s">
        <v>2558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Regimen</v>
      </c>
      <c r="E812" s="26" t="str">
        <f>VLOOKUP(A812,Meta.Features!$A:$K,$E$1,FALSE)</f>
        <v>Nominal</v>
      </c>
      <c r="F812" s="3" t="s">
        <v>1952</v>
      </c>
      <c r="G812" s="3" t="s">
        <v>1952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Regimen</v>
      </c>
      <c r="E813" s="26" t="str">
        <f>VLOOKUP(A813,Meta.Features!$A:$K,$E$1,FALSE)</f>
        <v>Nominal</v>
      </c>
      <c r="F813" s="3" t="s">
        <v>2311</v>
      </c>
      <c r="G813" s="3" t="s">
        <v>2311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Regimen</v>
      </c>
      <c r="E814" s="26" t="str">
        <f>VLOOKUP(A814,Meta.Features!$A:$K,$E$1,FALSE)</f>
        <v>Nominal</v>
      </c>
      <c r="F814" s="3" t="s">
        <v>2559</v>
      </c>
      <c r="G814" s="3" t="s">
        <v>2559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Regimen</v>
      </c>
      <c r="E815" s="26" t="str">
        <f>VLOOKUP(A815,Meta.Features!$A:$K,$E$1,FALSE)</f>
        <v>Nominal</v>
      </c>
      <c r="F815" s="3" t="s">
        <v>1914</v>
      </c>
      <c r="G815" s="3" t="s">
        <v>1914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Regimen</v>
      </c>
      <c r="E816" s="26" t="str">
        <f>VLOOKUP(A816,Meta.Features!$A:$K,$E$1,FALSE)</f>
        <v>Nominal</v>
      </c>
      <c r="F816" s="3" t="s">
        <v>2560</v>
      </c>
      <c r="G816" s="3" t="s">
        <v>2560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Regimen</v>
      </c>
      <c r="E817" s="26" t="str">
        <f>VLOOKUP(A817,Meta.Features!$A:$K,$E$1,FALSE)</f>
        <v>Nominal</v>
      </c>
      <c r="F817" s="3" t="s">
        <v>1960</v>
      </c>
      <c r="G817" s="3" t="s">
        <v>1960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Regimen</v>
      </c>
      <c r="E818" s="26" t="str">
        <f>VLOOKUP(A818,Meta.Features!$A:$K,$E$1,FALSE)</f>
        <v>Nominal</v>
      </c>
      <c r="F818" s="3" t="s">
        <v>2312</v>
      </c>
      <c r="G818" s="3" t="s">
        <v>2312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Regimen</v>
      </c>
      <c r="E819" s="26" t="str">
        <f>VLOOKUP(A819,Meta.Features!$A:$K,$E$1,FALSE)</f>
        <v>Nominal</v>
      </c>
      <c r="F819" s="3" t="s">
        <v>2313</v>
      </c>
      <c r="G819" s="3" t="s">
        <v>2313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Regimen</v>
      </c>
      <c r="E820" s="26" t="str">
        <f>VLOOKUP(A820,Meta.Features!$A:$K,$E$1,FALSE)</f>
        <v>Nominal</v>
      </c>
      <c r="F820" s="3" t="s">
        <v>2314</v>
      </c>
      <c r="G820" s="3" t="s">
        <v>2314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Regimen</v>
      </c>
      <c r="E821" s="26" t="str">
        <f>VLOOKUP(A821,Meta.Features!$A:$K,$E$1,FALSE)</f>
        <v>Nominal</v>
      </c>
      <c r="F821" s="3" t="s">
        <v>2315</v>
      </c>
      <c r="G821" s="3" t="s">
        <v>2315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Regimen</v>
      </c>
      <c r="E822" s="26" t="str">
        <f>VLOOKUP(A822,Meta.Features!$A:$K,$E$1,FALSE)</f>
        <v>Nominal</v>
      </c>
      <c r="F822" s="3" t="s">
        <v>2316</v>
      </c>
      <c r="G822" s="3" t="s">
        <v>2316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Regimen</v>
      </c>
      <c r="E823" s="26" t="str">
        <f>VLOOKUP(A823,Meta.Features!$A:$K,$E$1,FALSE)</f>
        <v>Nominal</v>
      </c>
      <c r="F823" s="3" t="s">
        <v>2317</v>
      </c>
      <c r="G823" s="3" t="s">
        <v>2317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Regimen</v>
      </c>
      <c r="E824" s="26" t="str">
        <f>VLOOKUP(A824,Meta.Features!$A:$K,$E$1,FALSE)</f>
        <v>Nominal</v>
      </c>
      <c r="F824" s="3" t="s">
        <v>2318</v>
      </c>
      <c r="G824" s="3" t="s">
        <v>2318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Regimen</v>
      </c>
      <c r="E825" s="26" t="str">
        <f>VLOOKUP(A825,Meta.Features!$A:$K,$E$1,FALSE)</f>
        <v>Nominal</v>
      </c>
      <c r="F825" s="3" t="s">
        <v>2319</v>
      </c>
      <c r="G825" s="3" t="s">
        <v>2319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Regimen</v>
      </c>
      <c r="E826" s="26" t="str">
        <f>VLOOKUP(A826,Meta.Features!$A:$K,$E$1,FALSE)</f>
        <v>Nominal</v>
      </c>
      <c r="F826" s="3" t="s">
        <v>2320</v>
      </c>
      <c r="G826" s="3" t="s">
        <v>2320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Regimen</v>
      </c>
      <c r="E827" s="26" t="str">
        <f>VLOOKUP(A827,Meta.Features!$A:$K,$E$1,FALSE)</f>
        <v>Nominal</v>
      </c>
      <c r="F827" s="3" t="s">
        <v>2321</v>
      </c>
      <c r="G827" s="3" t="s">
        <v>2321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Regimen</v>
      </c>
      <c r="E828" s="26" t="str">
        <f>VLOOKUP(A828,Meta.Features!$A:$K,$E$1,FALSE)</f>
        <v>Nominal</v>
      </c>
      <c r="F828" s="3" t="s">
        <v>2322</v>
      </c>
      <c r="G828" s="3" t="s">
        <v>2322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Regimen</v>
      </c>
      <c r="E829" s="26" t="str">
        <f>VLOOKUP(A829,Meta.Features!$A:$K,$E$1,FALSE)</f>
        <v>Nominal</v>
      </c>
      <c r="F829" s="3" t="s">
        <v>2323</v>
      </c>
      <c r="G829" s="3" t="s">
        <v>2323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Regimen</v>
      </c>
      <c r="E830" s="26" t="str">
        <f>VLOOKUP(A830,Meta.Features!$A:$K,$E$1,FALSE)</f>
        <v>Nominal</v>
      </c>
      <c r="F830" s="3" t="s">
        <v>2561</v>
      </c>
      <c r="G830" s="3" t="s">
        <v>2561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Regimen</v>
      </c>
      <c r="E831" s="26" t="str">
        <f>VLOOKUP(A831,Meta.Features!$A:$K,$E$1,FALSE)</f>
        <v>Nominal</v>
      </c>
      <c r="F831" s="3" t="s">
        <v>2562</v>
      </c>
      <c r="G831" s="3" t="s">
        <v>2562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Regimen</v>
      </c>
      <c r="E832" s="26" t="str">
        <f>VLOOKUP(A832,Meta.Features!$A:$K,$E$1,FALSE)</f>
        <v>Nominal</v>
      </c>
      <c r="F832" s="3" t="s">
        <v>2324</v>
      </c>
      <c r="G832" s="3" t="s">
        <v>2324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Regimen</v>
      </c>
      <c r="E833" s="26" t="str">
        <f>VLOOKUP(A833,Meta.Features!$A:$K,$E$1,FALSE)</f>
        <v>Nominal</v>
      </c>
      <c r="F833" s="3" t="s">
        <v>2563</v>
      </c>
      <c r="G833" s="3" t="s">
        <v>2563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Regimen</v>
      </c>
      <c r="E834" s="26" t="str">
        <f>VLOOKUP(A834,Meta.Features!$A:$K,$E$1,FALSE)</f>
        <v>Nominal</v>
      </c>
      <c r="F834" s="3" t="s">
        <v>2564</v>
      </c>
      <c r="G834" s="3" t="s">
        <v>2564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Regimen</v>
      </c>
      <c r="E835" s="26" t="str">
        <f>VLOOKUP(A835,Meta.Features!$A:$K,$E$1,FALSE)</f>
        <v>Nominal</v>
      </c>
      <c r="F835" s="3" t="s">
        <v>2565</v>
      </c>
      <c r="G835" s="3" t="s">
        <v>2565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Regimen</v>
      </c>
      <c r="E836" s="26" t="str">
        <f>VLOOKUP(A836,Meta.Features!$A:$K,$E$1,FALSE)</f>
        <v>Nominal</v>
      </c>
      <c r="F836" s="3" t="s">
        <v>2325</v>
      </c>
      <c r="G836" s="3" t="s">
        <v>2325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Regimen</v>
      </c>
      <c r="E837" s="26" t="str">
        <f>VLOOKUP(A837,Meta.Features!$A:$K,$E$1,FALSE)</f>
        <v>Nominal</v>
      </c>
      <c r="F837" s="3" t="s">
        <v>2326</v>
      </c>
      <c r="G837" s="3" t="s">
        <v>2326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Regimen</v>
      </c>
      <c r="E838" s="26" t="str">
        <f>VLOOKUP(A838,Meta.Features!$A:$K,$E$1,FALSE)</f>
        <v>Nominal</v>
      </c>
      <c r="F838" s="3" t="s">
        <v>2566</v>
      </c>
      <c r="G838" s="3" t="s">
        <v>2566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Regimen</v>
      </c>
      <c r="E839" s="26" t="str">
        <f>VLOOKUP(A839,Meta.Features!$A:$K,$E$1,FALSE)</f>
        <v>Nominal</v>
      </c>
      <c r="F839" s="3" t="s">
        <v>2567</v>
      </c>
      <c r="G839" s="3" t="s">
        <v>2567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Regimen</v>
      </c>
      <c r="E840" s="26" t="str">
        <f>VLOOKUP(A840,Meta.Features!$A:$K,$E$1,FALSE)</f>
        <v>Nominal</v>
      </c>
      <c r="F840" s="3" t="s">
        <v>2568</v>
      </c>
      <c r="G840" s="3" t="s">
        <v>2568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Regimen</v>
      </c>
      <c r="E841" s="26" t="str">
        <f>VLOOKUP(A841,Meta.Features!$A:$K,$E$1,FALSE)</f>
        <v>Nominal</v>
      </c>
      <c r="F841" s="3" t="s">
        <v>2327</v>
      </c>
      <c r="G841" s="3" t="s">
        <v>2327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Regimen</v>
      </c>
      <c r="E842" s="26" t="str">
        <f>VLOOKUP(A842,Meta.Features!$A:$K,$E$1,FALSE)</f>
        <v>Nominal</v>
      </c>
      <c r="F842" s="3" t="s">
        <v>2328</v>
      </c>
      <c r="G842" s="3" t="s">
        <v>2328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Regimen</v>
      </c>
      <c r="E843" s="26" t="str">
        <f>VLOOKUP(A843,Meta.Features!$A:$K,$E$1,FALSE)</f>
        <v>Nominal</v>
      </c>
      <c r="F843" s="3" t="s">
        <v>2569</v>
      </c>
      <c r="G843" s="3" t="s">
        <v>2569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Regimen</v>
      </c>
      <c r="E844" s="26" t="str">
        <f>VLOOKUP(A844,Meta.Features!$A:$K,$E$1,FALSE)</f>
        <v>Nominal</v>
      </c>
      <c r="F844" s="3" t="s">
        <v>2329</v>
      </c>
      <c r="G844" s="3" t="s">
        <v>2329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Regimen</v>
      </c>
      <c r="E845" s="26" t="str">
        <f>VLOOKUP(A845,Meta.Features!$A:$K,$E$1,FALSE)</f>
        <v>Nominal</v>
      </c>
      <c r="F845" s="3" t="s">
        <v>2330</v>
      </c>
      <c r="G845" s="3" t="s">
        <v>2330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Regimen</v>
      </c>
      <c r="E846" s="26" t="str">
        <f>VLOOKUP(A846,Meta.Features!$A:$K,$E$1,FALSE)</f>
        <v>Nominal</v>
      </c>
      <c r="F846" s="3" t="s">
        <v>2570</v>
      </c>
      <c r="G846" s="3" t="s">
        <v>2570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Regimen</v>
      </c>
      <c r="E847" s="26" t="str">
        <f>VLOOKUP(A847,Meta.Features!$A:$K,$E$1,FALSE)</f>
        <v>Nominal</v>
      </c>
      <c r="F847" s="3" t="s">
        <v>2571</v>
      </c>
      <c r="G847" s="3" t="s">
        <v>2571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Regimen</v>
      </c>
      <c r="E848" s="26" t="str">
        <f>VLOOKUP(A848,Meta.Features!$A:$K,$E$1,FALSE)</f>
        <v>Nominal</v>
      </c>
      <c r="F848" s="3" t="s">
        <v>2572</v>
      </c>
      <c r="G848" s="3" t="s">
        <v>2572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Regimen</v>
      </c>
      <c r="E849" s="26" t="str">
        <f>VLOOKUP(A849,Meta.Features!$A:$K,$E$1,FALSE)</f>
        <v>Nominal</v>
      </c>
      <c r="F849" s="3" t="s">
        <v>2573</v>
      </c>
      <c r="G849" s="3" t="s">
        <v>2573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Regimen</v>
      </c>
      <c r="E850" s="26" t="str">
        <f>VLOOKUP(A850,Meta.Features!$A:$K,$E$1,FALSE)</f>
        <v>Nominal</v>
      </c>
      <c r="F850" s="3" t="s">
        <v>1754</v>
      </c>
      <c r="G850" s="3" t="s">
        <v>1754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Regimen</v>
      </c>
      <c r="E851" s="26" t="str">
        <f>VLOOKUP(A851,Meta.Features!$A:$K,$E$1,FALSE)</f>
        <v>Nominal</v>
      </c>
      <c r="F851" s="3" t="s">
        <v>2331</v>
      </c>
      <c r="G851" s="3" t="s">
        <v>2331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Regimen</v>
      </c>
      <c r="E852" s="26" t="str">
        <f>VLOOKUP(A852,Meta.Features!$A:$K,$E$1,FALSE)</f>
        <v>Nominal</v>
      </c>
      <c r="F852" s="3" t="s">
        <v>2332</v>
      </c>
      <c r="G852" s="3" t="s">
        <v>2332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Regimen</v>
      </c>
      <c r="E853" s="26" t="str">
        <f>VLOOKUP(A853,Meta.Features!$A:$K,$E$1,FALSE)</f>
        <v>Nominal</v>
      </c>
      <c r="F853" s="3" t="s">
        <v>1707</v>
      </c>
      <c r="G853" s="3" t="s">
        <v>1707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Regimen</v>
      </c>
      <c r="E854" s="26" t="str">
        <f>VLOOKUP(A854,Meta.Features!$A:$K,$E$1,FALSE)</f>
        <v>Nominal</v>
      </c>
      <c r="F854" s="3" t="s">
        <v>2333</v>
      </c>
      <c r="G854" s="3" t="s">
        <v>2333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Regimen</v>
      </c>
      <c r="E855" s="26" t="str">
        <f>VLOOKUP(A855,Meta.Features!$A:$K,$E$1,FALSE)</f>
        <v>Nominal</v>
      </c>
      <c r="F855" s="3" t="s">
        <v>2381</v>
      </c>
      <c r="G855" s="3" t="s">
        <v>2381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Regimen</v>
      </c>
      <c r="E856" s="26" t="str">
        <f>VLOOKUP(A856,Meta.Features!$A:$K,$E$1,FALSE)</f>
        <v>Nominal</v>
      </c>
      <c r="F856" s="3" t="s">
        <v>2380</v>
      </c>
      <c r="G856" s="3" t="s">
        <v>2380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Regimen</v>
      </c>
      <c r="E857" s="26" t="str">
        <f>VLOOKUP(A857,Meta.Features!$A:$K,$E$1,FALSE)</f>
        <v>Nominal</v>
      </c>
      <c r="F857" s="3" t="s">
        <v>2334</v>
      </c>
      <c r="G857" s="3" t="s">
        <v>2334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Regimen</v>
      </c>
      <c r="E858" s="26" t="str">
        <f>VLOOKUP(A858,Meta.Features!$A:$K,$E$1,FALSE)</f>
        <v>Nominal</v>
      </c>
      <c r="F858" s="3" t="s">
        <v>2335</v>
      </c>
      <c r="G858" s="3" t="s">
        <v>2335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Regimen</v>
      </c>
      <c r="E859" s="26" t="str">
        <f>VLOOKUP(A859,Meta.Features!$A:$K,$E$1,FALSE)</f>
        <v>Nominal</v>
      </c>
      <c r="F859" s="3" t="s">
        <v>2336</v>
      </c>
      <c r="G859" s="3" t="s">
        <v>2336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Regimen</v>
      </c>
      <c r="E860" s="26" t="str">
        <f>VLOOKUP(A860,Meta.Features!$A:$K,$E$1,FALSE)</f>
        <v>Nominal</v>
      </c>
      <c r="F860" s="3" t="s">
        <v>2337</v>
      </c>
      <c r="G860" s="3" t="s">
        <v>2337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Regimen</v>
      </c>
      <c r="E861" s="26" t="str">
        <f>VLOOKUP(A861,Meta.Features!$A:$K,$E$1,FALSE)</f>
        <v>Nominal</v>
      </c>
      <c r="F861" s="3" t="s">
        <v>2449</v>
      </c>
      <c r="G861" s="3" t="s">
        <v>2449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Regimen</v>
      </c>
      <c r="E862" s="26" t="str">
        <f>VLOOKUP(A862,Meta.Features!$A:$K,$E$1,FALSE)</f>
        <v>Nominal</v>
      </c>
      <c r="F862" s="3" t="s">
        <v>1775</v>
      </c>
      <c r="G862" s="3" t="s">
        <v>1775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Regimen</v>
      </c>
      <c r="E863" s="26" t="str">
        <f>VLOOKUP(A863,Meta.Features!$A:$K,$E$1,FALSE)</f>
        <v>Nominal</v>
      </c>
      <c r="F863" s="3" t="s">
        <v>2574</v>
      </c>
      <c r="G863" s="3" t="s">
        <v>2574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Regimen</v>
      </c>
      <c r="E864" s="26" t="str">
        <f>VLOOKUP(A864,Meta.Features!$A:$K,$E$1,FALSE)</f>
        <v>Nominal</v>
      </c>
      <c r="F864" s="3" t="s">
        <v>2575</v>
      </c>
      <c r="G864" s="3" t="s">
        <v>2575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Regimen</v>
      </c>
      <c r="E865" s="26" t="str">
        <f>VLOOKUP(A865,Meta.Features!$A:$K,$E$1,FALSE)</f>
        <v>Nominal</v>
      </c>
      <c r="F865" s="3" t="s">
        <v>2338</v>
      </c>
      <c r="G865" s="3" t="s">
        <v>2338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Regimen</v>
      </c>
      <c r="E866" s="26" t="str">
        <f>VLOOKUP(A866,Meta.Features!$A:$K,$E$1,FALSE)</f>
        <v>Nominal</v>
      </c>
      <c r="F866" s="3" t="s">
        <v>2576</v>
      </c>
      <c r="G866" s="3" t="s">
        <v>2576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Regimen</v>
      </c>
      <c r="E867" s="26" t="str">
        <f>VLOOKUP(A867,Meta.Features!$A:$K,$E$1,FALSE)</f>
        <v>Nominal</v>
      </c>
      <c r="F867" s="3" t="s">
        <v>2339</v>
      </c>
      <c r="G867" s="3" t="s">
        <v>2339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Regimen</v>
      </c>
      <c r="E868" s="26" t="str">
        <f>VLOOKUP(A868,Meta.Features!$A:$K,$E$1,FALSE)</f>
        <v>Nominal</v>
      </c>
      <c r="F868" s="3" t="s">
        <v>2340</v>
      </c>
      <c r="G868" s="3" t="s">
        <v>2340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Regimen</v>
      </c>
      <c r="E869" s="26" t="str">
        <f>VLOOKUP(A869,Meta.Features!$A:$K,$E$1,FALSE)</f>
        <v>Nominal</v>
      </c>
      <c r="F869" s="3" t="s">
        <v>2341</v>
      </c>
      <c r="G869" s="3" t="s">
        <v>2341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Regimen</v>
      </c>
      <c r="E870" s="26" t="str">
        <f>VLOOKUP(A870,Meta.Features!$A:$K,$E$1,FALSE)</f>
        <v>Nominal</v>
      </c>
      <c r="F870" s="3" t="s">
        <v>1937</v>
      </c>
      <c r="G870" s="3" t="s">
        <v>1937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Regimen</v>
      </c>
      <c r="E871" s="26" t="str">
        <f>VLOOKUP(A871,Meta.Features!$A:$K,$E$1,FALSE)</f>
        <v>Nominal</v>
      </c>
      <c r="F871" s="3" t="s">
        <v>1936</v>
      </c>
      <c r="G871" s="3" t="s">
        <v>1936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Regimen</v>
      </c>
      <c r="E872" s="26" t="str">
        <f>VLOOKUP(A872,Meta.Features!$A:$K,$E$1,FALSE)</f>
        <v>Nominal</v>
      </c>
      <c r="F872" s="3" t="s">
        <v>2342</v>
      </c>
      <c r="G872" s="3" t="s">
        <v>2342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Regimen</v>
      </c>
      <c r="E873" s="26" t="str">
        <f>VLOOKUP(A873,Meta.Features!$A:$K,$E$1,FALSE)</f>
        <v>Nominal</v>
      </c>
      <c r="F873" s="3" t="s">
        <v>2343</v>
      </c>
      <c r="G873" s="3" t="s">
        <v>2343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Regimen</v>
      </c>
      <c r="E874" s="26" t="str">
        <f>VLOOKUP(A874,Meta.Features!$A:$K,$E$1,FALSE)</f>
        <v>Nominal</v>
      </c>
      <c r="F874" s="3" t="s">
        <v>2577</v>
      </c>
      <c r="G874" s="3" t="s">
        <v>2577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Regimen</v>
      </c>
      <c r="E875" s="26" t="str">
        <f>VLOOKUP(A875,Meta.Features!$A:$K,$E$1,FALSE)</f>
        <v>Nominal</v>
      </c>
      <c r="F875" s="3" t="s">
        <v>2578</v>
      </c>
      <c r="G875" s="3" t="s">
        <v>2578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Regimen</v>
      </c>
      <c r="E876" s="26" t="str">
        <f>VLOOKUP(A876,Meta.Features!$A:$K,$E$1,FALSE)</f>
        <v>Nominal</v>
      </c>
      <c r="F876" s="3" t="s">
        <v>2579</v>
      </c>
      <c r="G876" s="3" t="s">
        <v>2579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Regimen</v>
      </c>
      <c r="E877" s="26" t="str">
        <f>VLOOKUP(A877,Meta.Features!$A:$K,$E$1,FALSE)</f>
        <v>Nominal</v>
      </c>
      <c r="F877" s="3" t="s">
        <v>1709</v>
      </c>
      <c r="G877" s="3" t="s">
        <v>1709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Regimen</v>
      </c>
      <c r="E878" s="26" t="str">
        <f>VLOOKUP(A878,Meta.Features!$A:$K,$E$1,FALSE)</f>
        <v>Nominal</v>
      </c>
      <c r="F878" s="3" t="s">
        <v>1879</v>
      </c>
      <c r="G878" s="3" t="s">
        <v>1879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Regimen</v>
      </c>
      <c r="E879" s="26" t="str">
        <f>VLOOKUP(A879,Meta.Features!$A:$K,$E$1,FALSE)</f>
        <v>Nominal</v>
      </c>
      <c r="F879" s="3" t="s">
        <v>2580</v>
      </c>
      <c r="G879" s="3" t="s">
        <v>2580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Regimen</v>
      </c>
      <c r="E880" s="26" t="str">
        <f>VLOOKUP(A880,Meta.Features!$A:$K,$E$1,FALSE)</f>
        <v>Nominal</v>
      </c>
      <c r="F880" s="3" t="s">
        <v>2581</v>
      </c>
      <c r="G880" s="3" t="s">
        <v>2581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Regimen</v>
      </c>
      <c r="E881" s="26" t="str">
        <f>VLOOKUP(A881,Meta.Features!$A:$K,$E$1,FALSE)</f>
        <v>Nominal</v>
      </c>
      <c r="F881" s="3" t="s">
        <v>2582</v>
      </c>
      <c r="G881" s="3" t="s">
        <v>2582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Regimen</v>
      </c>
      <c r="E882" s="26" t="str">
        <f>VLOOKUP(A882,Meta.Features!$A:$K,$E$1,FALSE)</f>
        <v>Nominal</v>
      </c>
      <c r="F882" s="3" t="s">
        <v>2583</v>
      </c>
      <c r="G882" s="3" t="s">
        <v>2583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Regimen</v>
      </c>
      <c r="E883" s="26" t="str">
        <f>VLOOKUP(A883,Meta.Features!$A:$K,$E$1,FALSE)</f>
        <v>Nominal</v>
      </c>
      <c r="F883" s="3" t="s">
        <v>1878</v>
      </c>
      <c r="G883" s="3" t="s">
        <v>1878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Regimen</v>
      </c>
      <c r="E884" s="26" t="str">
        <f>VLOOKUP(A884,Meta.Features!$A:$K,$E$1,FALSE)</f>
        <v>Nominal</v>
      </c>
      <c r="F884" s="3" t="s">
        <v>1716</v>
      </c>
      <c r="G884" s="3" t="s">
        <v>1716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Regimen</v>
      </c>
      <c r="E885" s="26" t="str">
        <f>VLOOKUP(A885,Meta.Features!$A:$K,$E$1,FALSE)</f>
        <v>Nominal</v>
      </c>
      <c r="F885" s="3" t="s">
        <v>2344</v>
      </c>
      <c r="G885" s="3" t="s">
        <v>2344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Regimen</v>
      </c>
      <c r="E886" s="26" t="str">
        <f>VLOOKUP(A886,Meta.Features!$A:$K,$E$1,FALSE)</f>
        <v>Nominal</v>
      </c>
      <c r="F886" s="3" t="s">
        <v>2584</v>
      </c>
      <c r="G886" s="3" t="s">
        <v>2584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Regimen</v>
      </c>
      <c r="E887" s="26" t="str">
        <f>VLOOKUP(A887,Meta.Features!$A:$K,$E$1,FALSE)</f>
        <v>Nominal</v>
      </c>
      <c r="F887" s="3" t="s">
        <v>2585</v>
      </c>
      <c r="G887" s="3" t="s">
        <v>2585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Regimen</v>
      </c>
      <c r="E888" s="26" t="str">
        <f>VLOOKUP(A888,Meta.Features!$A:$K,$E$1,FALSE)</f>
        <v>Nominal</v>
      </c>
      <c r="F888" s="3" t="s">
        <v>2586</v>
      </c>
      <c r="G888" s="3" t="s">
        <v>2586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Regimen</v>
      </c>
      <c r="E889" s="26" t="str">
        <f>VLOOKUP(A889,Meta.Features!$A:$K,$E$1,FALSE)</f>
        <v>Nominal</v>
      </c>
      <c r="F889" s="3" t="s">
        <v>1770</v>
      </c>
      <c r="G889" s="3" t="s">
        <v>1770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Regimen</v>
      </c>
      <c r="E890" s="26" t="str">
        <f>VLOOKUP(A890,Meta.Features!$A:$K,$E$1,FALSE)</f>
        <v>Nominal</v>
      </c>
      <c r="F890" s="3" t="s">
        <v>2345</v>
      </c>
      <c r="G890" s="3" t="s">
        <v>2345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Regimen</v>
      </c>
      <c r="E891" s="26" t="str">
        <f>VLOOKUP(A891,Meta.Features!$A:$K,$E$1,FALSE)</f>
        <v>Nominal</v>
      </c>
      <c r="F891" s="3" t="s">
        <v>2346</v>
      </c>
      <c r="G891" s="3" t="s">
        <v>2346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Regimen</v>
      </c>
      <c r="E892" s="26" t="str">
        <f>VLOOKUP(A892,Meta.Features!$A:$K,$E$1,FALSE)</f>
        <v>Nominal</v>
      </c>
      <c r="F892" s="3" t="s">
        <v>2347</v>
      </c>
      <c r="G892" s="3" t="s">
        <v>2347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Regimen</v>
      </c>
      <c r="E893" s="26" t="str">
        <f>VLOOKUP(A893,Meta.Features!$A:$K,$E$1,FALSE)</f>
        <v>Nominal</v>
      </c>
      <c r="F893" s="3" t="s">
        <v>2348</v>
      </c>
      <c r="G893" s="3" t="s">
        <v>2348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Regimen</v>
      </c>
      <c r="E894" s="26" t="str">
        <f>VLOOKUP(A894,Meta.Features!$A:$K,$E$1,FALSE)</f>
        <v>Nominal</v>
      </c>
      <c r="F894" s="3" t="s">
        <v>2349</v>
      </c>
      <c r="G894" s="3" t="s">
        <v>2349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Regimen</v>
      </c>
      <c r="E895" s="26" t="str">
        <f>VLOOKUP(A895,Meta.Features!$A:$K,$E$1,FALSE)</f>
        <v>Nominal</v>
      </c>
      <c r="F895" s="3" t="s">
        <v>2587</v>
      </c>
      <c r="G895" s="3" t="s">
        <v>2587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Regimen</v>
      </c>
      <c r="E896" s="26" t="str">
        <f>VLOOKUP(A896,Meta.Features!$A:$K,$E$1,FALSE)</f>
        <v>Nominal</v>
      </c>
      <c r="F896" s="3" t="s">
        <v>2350</v>
      </c>
      <c r="G896" s="3" t="s">
        <v>2350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Regimen</v>
      </c>
      <c r="E897" s="26" t="str">
        <f>VLOOKUP(A897,Meta.Features!$A:$K,$E$1,FALSE)</f>
        <v>Nominal</v>
      </c>
      <c r="F897" s="3" t="s">
        <v>2588</v>
      </c>
      <c r="G897" s="3" t="s">
        <v>2588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Regimen</v>
      </c>
      <c r="E898" s="26" t="str">
        <f>VLOOKUP(A898,Meta.Features!$A:$K,$E$1,FALSE)</f>
        <v>Nominal</v>
      </c>
      <c r="F898" s="3" t="s">
        <v>2589</v>
      </c>
      <c r="G898" s="3" t="s">
        <v>2589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Regimen</v>
      </c>
      <c r="E899" s="26" t="str">
        <f>VLOOKUP(A899,Meta.Features!$A:$K,$E$1,FALSE)</f>
        <v>Nominal</v>
      </c>
      <c r="F899" s="3" t="s">
        <v>2590</v>
      </c>
      <c r="G899" s="3" t="s">
        <v>2590</v>
      </c>
      <c r="L899" s="4"/>
    </row>
    <row r="900" spans="1:12" ht="18" customHeight="1" x14ac:dyDescent="0.3">
      <c r="A900" s="28">
        <v>133</v>
      </c>
      <c r="B900" s="26" t="str">
        <f>VLOOKUP(A900,Meta.Features!$A:$G,$B$1,FALSE)</f>
        <v>SystemicTherapy</v>
      </c>
      <c r="C900" s="26" t="str">
        <f>VLOOKUP(A900,Meta.Features!$A:$G,$C$1,FALSE)</f>
        <v>systemische_therapie_protokoll</v>
      </c>
      <c r="D900" s="26" t="str">
        <f>VLOOKUP(A900,Meta.Features!$A:$G,$D$1,FALSE)</f>
        <v>Regimen</v>
      </c>
      <c r="E900" s="26" t="str">
        <f>VLOOKUP(A900,Meta.Features!$A:$K,$E$1,FALSE)</f>
        <v>Nominal</v>
      </c>
      <c r="F900" s="3" t="s">
        <v>2591</v>
      </c>
      <c r="G900" s="3" t="s">
        <v>2591</v>
      </c>
      <c r="L900" s="4"/>
    </row>
    <row r="901" spans="1:12" ht="18" customHeight="1" x14ac:dyDescent="0.3">
      <c r="A901" s="28">
        <v>133</v>
      </c>
      <c r="B901" s="26" t="str">
        <f>VLOOKUP(A901,Meta.Features!$A:$G,$B$1,FALSE)</f>
        <v>SystemicTherapy</v>
      </c>
      <c r="C901" s="26" t="str">
        <f>VLOOKUP(A901,Meta.Features!$A:$G,$C$1,FALSE)</f>
        <v>systemische_therapie_protokoll</v>
      </c>
      <c r="D901" s="26" t="str">
        <f>VLOOKUP(A901,Meta.Features!$A:$G,$D$1,FALSE)</f>
        <v>Regimen</v>
      </c>
      <c r="E901" s="26" t="str">
        <f>VLOOKUP(A901,Meta.Features!$A:$K,$E$1,FALSE)</f>
        <v>Nominal</v>
      </c>
      <c r="F901" s="3" t="s">
        <v>2592</v>
      </c>
      <c r="G901" s="3" t="s">
        <v>2592</v>
      </c>
      <c r="L901" s="4"/>
    </row>
    <row r="902" spans="1:12" ht="18" customHeight="1" x14ac:dyDescent="0.3">
      <c r="A902" s="28">
        <v>133</v>
      </c>
      <c r="B902" s="26" t="str">
        <f>VLOOKUP(A902,Meta.Features!$A:$G,$B$1,FALSE)</f>
        <v>SystemicTherapy</v>
      </c>
      <c r="C902" s="26" t="str">
        <f>VLOOKUP(A902,Meta.Features!$A:$G,$C$1,FALSE)</f>
        <v>systemische_therapie_protokoll</v>
      </c>
      <c r="D902" s="26" t="str">
        <f>VLOOKUP(A902,Meta.Features!$A:$G,$D$1,FALSE)</f>
        <v>Regimen</v>
      </c>
      <c r="E902" s="26" t="str">
        <f>VLOOKUP(A902,Meta.Features!$A:$K,$E$1,FALSE)</f>
        <v>Nominal</v>
      </c>
      <c r="F902" s="3" t="s">
        <v>2351</v>
      </c>
      <c r="G902" s="3" t="s">
        <v>2351</v>
      </c>
      <c r="L902" s="4"/>
    </row>
    <row r="903" spans="1:12" ht="18" customHeight="1" x14ac:dyDescent="0.3">
      <c r="A903" s="28">
        <v>133</v>
      </c>
      <c r="B903" s="26" t="str">
        <f>VLOOKUP(A903,Meta.Features!$A:$G,$B$1,FALSE)</f>
        <v>SystemicTherapy</v>
      </c>
      <c r="C903" s="26" t="str">
        <f>VLOOKUP(A903,Meta.Features!$A:$G,$C$1,FALSE)</f>
        <v>systemische_therapie_protokoll</v>
      </c>
      <c r="D903" s="26" t="str">
        <f>VLOOKUP(A903,Meta.Features!$A:$G,$D$1,FALSE)</f>
        <v>Regimen</v>
      </c>
      <c r="E903" s="26" t="str">
        <f>VLOOKUP(A903,Meta.Features!$A:$K,$E$1,FALSE)</f>
        <v>Nominal</v>
      </c>
      <c r="F903" s="3" t="s">
        <v>2593</v>
      </c>
      <c r="G903" s="3" t="s">
        <v>2593</v>
      </c>
      <c r="L903" s="4"/>
    </row>
    <row r="904" spans="1:12" ht="18" customHeight="1" x14ac:dyDescent="0.3">
      <c r="A904" s="28">
        <v>133</v>
      </c>
      <c r="B904" s="26" t="str">
        <f>VLOOKUP(A904,Meta.Features!$A:$G,$B$1,FALSE)</f>
        <v>SystemicTherapy</v>
      </c>
      <c r="C904" s="26" t="str">
        <f>VLOOKUP(A904,Meta.Features!$A:$G,$C$1,FALSE)</f>
        <v>systemische_therapie_protokoll</v>
      </c>
      <c r="D904" s="26" t="str">
        <f>VLOOKUP(A904,Meta.Features!$A:$G,$D$1,FALSE)</f>
        <v>Regimen</v>
      </c>
      <c r="E904" s="26" t="str">
        <f>VLOOKUP(A904,Meta.Features!$A:$K,$E$1,FALSE)</f>
        <v>Nominal</v>
      </c>
      <c r="F904" s="3" t="s">
        <v>2352</v>
      </c>
      <c r="G904" s="3" t="s">
        <v>2352</v>
      </c>
      <c r="L904" s="4"/>
    </row>
    <row r="905" spans="1:12" ht="18" customHeight="1" x14ac:dyDescent="0.3">
      <c r="A905" s="28">
        <v>133</v>
      </c>
      <c r="B905" s="26" t="str">
        <f>VLOOKUP(A905,Meta.Features!$A:$G,$B$1,FALSE)</f>
        <v>SystemicTherapy</v>
      </c>
      <c r="C905" s="26" t="str">
        <f>VLOOKUP(A905,Meta.Features!$A:$G,$C$1,FALSE)</f>
        <v>systemische_therapie_protokoll</v>
      </c>
      <c r="D905" s="26" t="str">
        <f>VLOOKUP(A905,Meta.Features!$A:$G,$D$1,FALSE)</f>
        <v>Regimen</v>
      </c>
      <c r="E905" s="26" t="str">
        <f>VLOOKUP(A905,Meta.Features!$A:$K,$E$1,FALSE)</f>
        <v>Nominal</v>
      </c>
      <c r="F905" s="3" t="s">
        <v>2594</v>
      </c>
      <c r="G905" s="3" t="s">
        <v>2594</v>
      </c>
      <c r="L905" s="4"/>
    </row>
    <row r="906" spans="1:12" ht="18" customHeight="1" x14ac:dyDescent="0.3">
      <c r="A906" s="28">
        <v>133</v>
      </c>
      <c r="B906" s="26" t="str">
        <f>VLOOKUP(A906,Meta.Features!$A:$G,$B$1,FALSE)</f>
        <v>SystemicTherapy</v>
      </c>
      <c r="C906" s="26" t="str">
        <f>VLOOKUP(A906,Meta.Features!$A:$G,$C$1,FALSE)</f>
        <v>systemische_therapie_protokoll</v>
      </c>
      <c r="D906" s="26" t="str">
        <f>VLOOKUP(A906,Meta.Features!$A:$G,$D$1,FALSE)</f>
        <v>Regimen</v>
      </c>
      <c r="E906" s="26" t="str">
        <f>VLOOKUP(A906,Meta.Features!$A:$K,$E$1,FALSE)</f>
        <v>Nominal</v>
      </c>
      <c r="F906" s="3" t="s">
        <v>2595</v>
      </c>
      <c r="G906" s="3" t="s">
        <v>2595</v>
      </c>
      <c r="L906" s="4"/>
    </row>
    <row r="907" spans="1:12" ht="18" customHeight="1" x14ac:dyDescent="0.3">
      <c r="A907" s="28">
        <v>133</v>
      </c>
      <c r="B907" s="26" t="str">
        <f>VLOOKUP(A907,Meta.Features!$A:$G,$B$1,FALSE)</f>
        <v>SystemicTherapy</v>
      </c>
      <c r="C907" s="26" t="str">
        <f>VLOOKUP(A907,Meta.Features!$A:$G,$C$1,FALSE)</f>
        <v>systemische_therapie_protokoll</v>
      </c>
      <c r="D907" s="26" t="str">
        <f>VLOOKUP(A907,Meta.Features!$A:$G,$D$1,FALSE)</f>
        <v>Regimen</v>
      </c>
      <c r="E907" s="26" t="str">
        <f>VLOOKUP(A907,Meta.Features!$A:$K,$E$1,FALSE)</f>
        <v>Nominal</v>
      </c>
      <c r="F907" s="3" t="s">
        <v>2353</v>
      </c>
      <c r="G907" s="3" t="s">
        <v>2353</v>
      </c>
      <c r="L907" s="4"/>
    </row>
    <row r="908" spans="1:12" ht="18" customHeight="1" x14ac:dyDescent="0.3">
      <c r="A908" s="28">
        <v>133</v>
      </c>
      <c r="B908" s="26" t="str">
        <f>VLOOKUP(A908,Meta.Features!$A:$G,$B$1,FALSE)</f>
        <v>SystemicTherapy</v>
      </c>
      <c r="C908" s="26" t="str">
        <f>VLOOKUP(A908,Meta.Features!$A:$G,$C$1,FALSE)</f>
        <v>systemische_therapie_protokoll</v>
      </c>
      <c r="D908" s="26" t="str">
        <f>VLOOKUP(A908,Meta.Features!$A:$G,$D$1,FALSE)</f>
        <v>Regimen</v>
      </c>
      <c r="E908" s="26" t="str">
        <f>VLOOKUP(A908,Meta.Features!$A:$K,$E$1,FALSE)</f>
        <v>Nominal</v>
      </c>
      <c r="F908" s="3" t="s">
        <v>2354</v>
      </c>
      <c r="G908" s="3" t="s">
        <v>2354</v>
      </c>
      <c r="L908" s="4"/>
    </row>
    <row r="909" spans="1:12" ht="18" customHeight="1" x14ac:dyDescent="0.3">
      <c r="A909" s="28">
        <v>133</v>
      </c>
      <c r="B909" s="26" t="str">
        <f>VLOOKUP(A909,Meta.Features!$A:$G,$B$1,FALSE)</f>
        <v>SystemicTherapy</v>
      </c>
      <c r="C909" s="26" t="str">
        <f>VLOOKUP(A909,Meta.Features!$A:$G,$C$1,FALSE)</f>
        <v>systemische_therapie_protokoll</v>
      </c>
      <c r="D909" s="26" t="str">
        <f>VLOOKUP(A909,Meta.Features!$A:$G,$D$1,FALSE)</f>
        <v>Regimen</v>
      </c>
      <c r="E909" s="26" t="str">
        <f>VLOOKUP(A909,Meta.Features!$A:$K,$E$1,FALSE)</f>
        <v>Nominal</v>
      </c>
      <c r="F909" s="3" t="s">
        <v>2596</v>
      </c>
      <c r="G909" s="3" t="s">
        <v>2596</v>
      </c>
      <c r="L909" s="4"/>
    </row>
    <row r="910" spans="1:12" ht="18" customHeight="1" x14ac:dyDescent="0.3">
      <c r="A910" s="28">
        <v>133</v>
      </c>
      <c r="B910" s="26" t="str">
        <f>VLOOKUP(A910,Meta.Features!$A:$G,$B$1,FALSE)</f>
        <v>SystemicTherapy</v>
      </c>
      <c r="C910" s="26" t="str">
        <f>VLOOKUP(A910,Meta.Features!$A:$G,$C$1,FALSE)</f>
        <v>systemische_therapie_protokoll</v>
      </c>
      <c r="D910" s="26" t="str">
        <f>VLOOKUP(A910,Meta.Features!$A:$G,$D$1,FALSE)</f>
        <v>Regimen</v>
      </c>
      <c r="E910" s="26" t="str">
        <f>VLOOKUP(A910,Meta.Features!$A:$K,$E$1,FALSE)</f>
        <v>Nominal</v>
      </c>
      <c r="F910" s="3" t="s">
        <v>2355</v>
      </c>
      <c r="G910" s="3" t="s">
        <v>2355</v>
      </c>
      <c r="L910" s="4"/>
    </row>
    <row r="911" spans="1:12" ht="18" customHeight="1" x14ac:dyDescent="0.3">
      <c r="A911" s="28">
        <v>133</v>
      </c>
      <c r="B911" s="26" t="str">
        <f>VLOOKUP(A911,Meta.Features!$A:$G,$B$1,FALSE)</f>
        <v>SystemicTherapy</v>
      </c>
      <c r="C911" s="26" t="str">
        <f>VLOOKUP(A911,Meta.Features!$A:$G,$C$1,FALSE)</f>
        <v>systemische_therapie_protokoll</v>
      </c>
      <c r="D911" s="26" t="str">
        <f>VLOOKUP(A911,Meta.Features!$A:$G,$D$1,FALSE)</f>
        <v>Regimen</v>
      </c>
      <c r="E911" s="26" t="str">
        <f>VLOOKUP(A911,Meta.Features!$A:$K,$E$1,FALSE)</f>
        <v>Nominal</v>
      </c>
      <c r="F911" s="3" t="s">
        <v>2356</v>
      </c>
      <c r="G911" s="3" t="s">
        <v>2356</v>
      </c>
      <c r="L911" s="4"/>
    </row>
    <row r="912" spans="1:12" ht="18" customHeight="1" x14ac:dyDescent="0.3">
      <c r="A912" s="28">
        <v>133</v>
      </c>
      <c r="B912" s="26" t="str">
        <f>VLOOKUP(A912,Meta.Features!$A:$G,$B$1,FALSE)</f>
        <v>SystemicTherapy</v>
      </c>
      <c r="C912" s="26" t="str">
        <f>VLOOKUP(A912,Meta.Features!$A:$G,$C$1,FALSE)</f>
        <v>systemische_therapie_protokoll</v>
      </c>
      <c r="D912" s="26" t="str">
        <f>VLOOKUP(A912,Meta.Features!$A:$G,$D$1,FALSE)</f>
        <v>Regimen</v>
      </c>
      <c r="E912" s="26" t="str">
        <f>VLOOKUP(A912,Meta.Features!$A:$K,$E$1,FALSE)</f>
        <v>Nominal</v>
      </c>
      <c r="F912" s="3" t="s">
        <v>2357</v>
      </c>
      <c r="G912" s="3" t="s">
        <v>2357</v>
      </c>
      <c r="L912" s="4"/>
    </row>
    <row r="913" spans="1:12" ht="18" customHeight="1" x14ac:dyDescent="0.3">
      <c r="A913" s="28">
        <v>133</v>
      </c>
      <c r="B913" s="26" t="str">
        <f>VLOOKUP(A913,Meta.Features!$A:$G,$B$1,FALSE)</f>
        <v>SystemicTherapy</v>
      </c>
      <c r="C913" s="26" t="str">
        <f>VLOOKUP(A913,Meta.Features!$A:$G,$C$1,FALSE)</f>
        <v>systemische_therapie_protokoll</v>
      </c>
      <c r="D913" s="26" t="str">
        <f>VLOOKUP(A913,Meta.Features!$A:$G,$D$1,FALSE)</f>
        <v>Regimen</v>
      </c>
      <c r="E913" s="26" t="str">
        <f>VLOOKUP(A913,Meta.Features!$A:$K,$E$1,FALSE)</f>
        <v>Nominal</v>
      </c>
      <c r="F913" s="3" t="s">
        <v>2597</v>
      </c>
      <c r="G913" s="3" t="s">
        <v>2597</v>
      </c>
      <c r="L913" s="4"/>
    </row>
    <row r="914" spans="1:12" ht="18" customHeight="1" x14ac:dyDescent="0.3">
      <c r="A914" s="28">
        <v>133</v>
      </c>
      <c r="B914" s="26" t="str">
        <f>VLOOKUP(A914,Meta.Features!$A:$G,$B$1,FALSE)</f>
        <v>SystemicTherapy</v>
      </c>
      <c r="C914" s="26" t="str">
        <f>VLOOKUP(A914,Meta.Features!$A:$G,$C$1,FALSE)</f>
        <v>systemische_therapie_protokoll</v>
      </c>
      <c r="D914" s="26" t="str">
        <f>VLOOKUP(A914,Meta.Features!$A:$G,$D$1,FALSE)</f>
        <v>Regimen</v>
      </c>
      <c r="E914" s="26" t="str">
        <f>VLOOKUP(A914,Meta.Features!$A:$K,$E$1,FALSE)</f>
        <v>Nominal</v>
      </c>
      <c r="F914" s="3" t="s">
        <v>2358</v>
      </c>
      <c r="G914" s="3" t="s">
        <v>2358</v>
      </c>
      <c r="L914" s="4"/>
    </row>
    <row r="915" spans="1:12" ht="18" customHeight="1" x14ac:dyDescent="0.3">
      <c r="A915" s="28">
        <v>133</v>
      </c>
      <c r="B915" s="26" t="str">
        <f>VLOOKUP(A915,Meta.Features!$A:$G,$B$1,FALSE)</f>
        <v>SystemicTherapy</v>
      </c>
      <c r="C915" s="26" t="str">
        <f>VLOOKUP(A915,Meta.Features!$A:$G,$C$1,FALSE)</f>
        <v>systemische_therapie_protokoll</v>
      </c>
      <c r="D915" s="26" t="str">
        <f>VLOOKUP(A915,Meta.Features!$A:$G,$D$1,FALSE)</f>
        <v>Regimen</v>
      </c>
      <c r="E915" s="26" t="str">
        <f>VLOOKUP(A915,Meta.Features!$A:$K,$E$1,FALSE)</f>
        <v>Nominal</v>
      </c>
      <c r="F915" s="3" t="s">
        <v>2359</v>
      </c>
      <c r="G915" s="3" t="s">
        <v>2359</v>
      </c>
      <c r="L915" s="4"/>
    </row>
    <row r="916" spans="1:12" ht="18" customHeight="1" x14ac:dyDescent="0.3">
      <c r="A916" s="28">
        <v>133</v>
      </c>
      <c r="B916" s="26" t="str">
        <f>VLOOKUP(A916,Meta.Features!$A:$G,$B$1,FALSE)</f>
        <v>SystemicTherapy</v>
      </c>
      <c r="C916" s="26" t="str">
        <f>VLOOKUP(A916,Meta.Features!$A:$G,$C$1,FALSE)</f>
        <v>systemische_therapie_protokoll</v>
      </c>
      <c r="D916" s="26" t="str">
        <f>VLOOKUP(A916,Meta.Features!$A:$G,$D$1,FALSE)</f>
        <v>Regimen</v>
      </c>
      <c r="E916" s="26" t="str">
        <f>VLOOKUP(A916,Meta.Features!$A:$K,$E$1,FALSE)</f>
        <v>Nominal</v>
      </c>
      <c r="F916" s="3" t="s">
        <v>2360</v>
      </c>
      <c r="G916" s="3" t="s">
        <v>2360</v>
      </c>
      <c r="L916" s="4"/>
    </row>
    <row r="917" spans="1:12" ht="18" customHeight="1" x14ac:dyDescent="0.3">
      <c r="A917" s="28">
        <v>133</v>
      </c>
      <c r="B917" s="26" t="str">
        <f>VLOOKUP(A917,Meta.Features!$A:$G,$B$1,FALSE)</f>
        <v>SystemicTherapy</v>
      </c>
      <c r="C917" s="26" t="str">
        <f>VLOOKUP(A917,Meta.Features!$A:$G,$C$1,FALSE)</f>
        <v>systemische_therapie_protokoll</v>
      </c>
      <c r="D917" s="26" t="str">
        <f>VLOOKUP(A917,Meta.Features!$A:$G,$D$1,FALSE)</f>
        <v>Regimen</v>
      </c>
      <c r="E917" s="26" t="str">
        <f>VLOOKUP(A917,Meta.Features!$A:$K,$E$1,FALSE)</f>
        <v>Nominal</v>
      </c>
      <c r="F917" s="3" t="s">
        <v>1772</v>
      </c>
      <c r="G917" s="3" t="s">
        <v>1772</v>
      </c>
      <c r="L917" s="4"/>
    </row>
    <row r="918" spans="1:12" ht="18" customHeight="1" x14ac:dyDescent="0.3">
      <c r="A918" s="28">
        <v>133</v>
      </c>
      <c r="B918" s="26" t="str">
        <f>VLOOKUP(A918,Meta.Features!$A:$G,$B$1,FALSE)</f>
        <v>SystemicTherapy</v>
      </c>
      <c r="C918" s="26" t="str">
        <f>VLOOKUP(A918,Meta.Features!$A:$G,$C$1,FALSE)</f>
        <v>systemische_therapie_protokoll</v>
      </c>
      <c r="D918" s="26" t="str">
        <f>VLOOKUP(A918,Meta.Features!$A:$G,$D$1,FALSE)</f>
        <v>Regimen</v>
      </c>
      <c r="E918" s="26" t="str">
        <f>VLOOKUP(A918,Meta.Features!$A:$K,$E$1,FALSE)</f>
        <v>Nominal</v>
      </c>
      <c r="F918" s="3" t="s">
        <v>2361</v>
      </c>
      <c r="G918" s="3" t="s">
        <v>2361</v>
      </c>
      <c r="L918" s="4"/>
    </row>
    <row r="919" spans="1:12" ht="18" customHeight="1" x14ac:dyDescent="0.3">
      <c r="A919" s="28">
        <v>133</v>
      </c>
      <c r="B919" s="26" t="str">
        <f>VLOOKUP(A919,Meta.Features!$A:$G,$B$1,FALSE)</f>
        <v>SystemicTherapy</v>
      </c>
      <c r="C919" s="26" t="str">
        <f>VLOOKUP(A919,Meta.Features!$A:$G,$C$1,FALSE)</f>
        <v>systemische_therapie_protokoll</v>
      </c>
      <c r="D919" s="26" t="str">
        <f>VLOOKUP(A919,Meta.Features!$A:$G,$D$1,FALSE)</f>
        <v>Regimen</v>
      </c>
      <c r="E919" s="26" t="str">
        <f>VLOOKUP(A919,Meta.Features!$A:$K,$E$1,FALSE)</f>
        <v>Nominal</v>
      </c>
      <c r="F919" s="3" t="s">
        <v>2362</v>
      </c>
      <c r="G919" s="3" t="s">
        <v>2362</v>
      </c>
      <c r="L919" s="4"/>
    </row>
    <row r="920" spans="1:12" ht="18" customHeight="1" x14ac:dyDescent="0.3">
      <c r="A920" s="28">
        <v>133</v>
      </c>
      <c r="B920" s="26" t="str">
        <f>VLOOKUP(A920,Meta.Features!$A:$G,$B$1,FALSE)</f>
        <v>SystemicTherapy</v>
      </c>
      <c r="C920" s="26" t="str">
        <f>VLOOKUP(A920,Meta.Features!$A:$G,$C$1,FALSE)</f>
        <v>systemische_therapie_protokoll</v>
      </c>
      <c r="D920" s="26" t="str">
        <f>VLOOKUP(A920,Meta.Features!$A:$G,$D$1,FALSE)</f>
        <v>Regimen</v>
      </c>
      <c r="E920" s="26" t="str">
        <f>VLOOKUP(A920,Meta.Features!$A:$K,$E$1,FALSE)</f>
        <v>Nominal</v>
      </c>
      <c r="F920" s="3" t="s">
        <v>2598</v>
      </c>
      <c r="G920" s="3" t="s">
        <v>2598</v>
      </c>
      <c r="L920" s="4"/>
    </row>
    <row r="921" spans="1:12" ht="18" customHeight="1" x14ac:dyDescent="0.3">
      <c r="A921" s="28">
        <v>133</v>
      </c>
      <c r="B921" s="26" t="str">
        <f>VLOOKUP(A921,Meta.Features!$A:$G,$B$1,FALSE)</f>
        <v>SystemicTherapy</v>
      </c>
      <c r="C921" s="26" t="str">
        <f>VLOOKUP(A921,Meta.Features!$A:$G,$C$1,FALSE)</f>
        <v>systemische_therapie_protokoll</v>
      </c>
      <c r="D921" s="26" t="str">
        <f>VLOOKUP(A921,Meta.Features!$A:$G,$D$1,FALSE)</f>
        <v>Regimen</v>
      </c>
      <c r="E921" s="26" t="str">
        <f>VLOOKUP(A921,Meta.Features!$A:$K,$E$1,FALSE)</f>
        <v>Nominal</v>
      </c>
      <c r="F921" s="3" t="s">
        <v>2363</v>
      </c>
      <c r="G921" s="3" t="s">
        <v>2363</v>
      </c>
      <c r="L921" s="4"/>
    </row>
    <row r="922" spans="1:12" ht="18" customHeight="1" x14ac:dyDescent="0.3">
      <c r="A922" s="28">
        <v>133</v>
      </c>
      <c r="B922" s="26" t="str">
        <f>VLOOKUP(A922,Meta.Features!$A:$G,$B$1,FALSE)</f>
        <v>SystemicTherapy</v>
      </c>
      <c r="C922" s="26" t="str">
        <f>VLOOKUP(A922,Meta.Features!$A:$G,$C$1,FALSE)</f>
        <v>systemische_therapie_protokoll</v>
      </c>
      <c r="D922" s="26" t="str">
        <f>VLOOKUP(A922,Meta.Features!$A:$G,$D$1,FALSE)</f>
        <v>Regimen</v>
      </c>
      <c r="E922" s="26" t="str">
        <f>VLOOKUP(A922,Meta.Features!$A:$K,$E$1,FALSE)</f>
        <v>Nominal</v>
      </c>
      <c r="F922" s="3" t="s">
        <v>2364</v>
      </c>
      <c r="G922" s="3" t="s">
        <v>2364</v>
      </c>
      <c r="L922" s="4"/>
    </row>
    <row r="923" spans="1:12" ht="18" customHeight="1" x14ac:dyDescent="0.3">
      <c r="A923" s="28">
        <v>133</v>
      </c>
      <c r="B923" s="26" t="str">
        <f>VLOOKUP(A923,Meta.Features!$A:$G,$B$1,FALSE)</f>
        <v>SystemicTherapy</v>
      </c>
      <c r="C923" s="26" t="str">
        <f>VLOOKUP(A923,Meta.Features!$A:$G,$C$1,FALSE)</f>
        <v>systemische_therapie_protokoll</v>
      </c>
      <c r="D923" s="26" t="str">
        <f>VLOOKUP(A923,Meta.Features!$A:$G,$D$1,FALSE)</f>
        <v>Regimen</v>
      </c>
      <c r="E923" s="26" t="str">
        <f>VLOOKUP(A923,Meta.Features!$A:$K,$E$1,FALSE)</f>
        <v>Nominal</v>
      </c>
      <c r="F923" s="3" t="s">
        <v>2365</v>
      </c>
      <c r="G923" s="3" t="s">
        <v>2365</v>
      </c>
      <c r="L923" s="4"/>
    </row>
    <row r="924" spans="1:12" ht="18" customHeight="1" x14ac:dyDescent="0.3">
      <c r="A924" s="28">
        <v>133</v>
      </c>
      <c r="B924" s="26" t="str">
        <f>VLOOKUP(A924,Meta.Features!$A:$G,$B$1,FALSE)</f>
        <v>SystemicTherapy</v>
      </c>
      <c r="C924" s="26" t="str">
        <f>VLOOKUP(A924,Meta.Features!$A:$G,$C$1,FALSE)</f>
        <v>systemische_therapie_protokoll</v>
      </c>
      <c r="D924" s="26" t="str">
        <f>VLOOKUP(A924,Meta.Features!$A:$G,$D$1,FALSE)</f>
        <v>Regimen</v>
      </c>
      <c r="E924" s="26" t="str">
        <f>VLOOKUP(A924,Meta.Features!$A:$K,$E$1,FALSE)</f>
        <v>Nominal</v>
      </c>
      <c r="F924" s="3" t="s">
        <v>2366</v>
      </c>
      <c r="G924" s="3" t="s">
        <v>2366</v>
      </c>
      <c r="L924" s="4"/>
    </row>
    <row r="925" spans="1:12" ht="18" customHeight="1" x14ac:dyDescent="0.3">
      <c r="A925" s="28">
        <v>133</v>
      </c>
      <c r="B925" s="26" t="str">
        <f>VLOOKUP(A925,Meta.Features!$A:$G,$B$1,FALSE)</f>
        <v>SystemicTherapy</v>
      </c>
      <c r="C925" s="26" t="str">
        <f>VLOOKUP(A925,Meta.Features!$A:$G,$C$1,FALSE)</f>
        <v>systemische_therapie_protokoll</v>
      </c>
      <c r="D925" s="26" t="str">
        <f>VLOOKUP(A925,Meta.Features!$A:$G,$D$1,FALSE)</f>
        <v>Regimen</v>
      </c>
      <c r="E925" s="26" t="str">
        <f>VLOOKUP(A925,Meta.Features!$A:$K,$E$1,FALSE)</f>
        <v>Nominal</v>
      </c>
      <c r="F925" s="3" t="s">
        <v>2367</v>
      </c>
      <c r="G925" s="3" t="s">
        <v>2367</v>
      </c>
      <c r="L925" s="4"/>
    </row>
    <row r="926" spans="1:12" ht="18" customHeight="1" x14ac:dyDescent="0.3">
      <c r="A926" s="28">
        <v>133</v>
      </c>
      <c r="B926" s="26" t="str">
        <f>VLOOKUP(A926,Meta.Features!$A:$G,$B$1,FALSE)</f>
        <v>SystemicTherapy</v>
      </c>
      <c r="C926" s="26" t="str">
        <f>VLOOKUP(A926,Meta.Features!$A:$G,$C$1,FALSE)</f>
        <v>systemische_therapie_protokoll</v>
      </c>
      <c r="D926" s="26" t="str">
        <f>VLOOKUP(A926,Meta.Features!$A:$G,$D$1,FALSE)</f>
        <v>Regimen</v>
      </c>
      <c r="E926" s="26" t="str">
        <f>VLOOKUP(A926,Meta.Features!$A:$K,$E$1,FALSE)</f>
        <v>Nominal</v>
      </c>
      <c r="F926" s="3" t="s">
        <v>1769</v>
      </c>
      <c r="G926" s="3" t="s">
        <v>1769</v>
      </c>
      <c r="L926" s="4"/>
    </row>
    <row r="927" spans="1:12" ht="18" customHeight="1" x14ac:dyDescent="0.3">
      <c r="A927" s="28">
        <v>133</v>
      </c>
      <c r="B927" s="26" t="str">
        <f>VLOOKUP(A927,Meta.Features!$A:$G,$B$1,FALSE)</f>
        <v>SystemicTherapy</v>
      </c>
      <c r="C927" s="26" t="str">
        <f>VLOOKUP(A927,Meta.Features!$A:$G,$C$1,FALSE)</f>
        <v>systemische_therapie_protokoll</v>
      </c>
      <c r="D927" s="26" t="str">
        <f>VLOOKUP(A927,Meta.Features!$A:$G,$D$1,FALSE)</f>
        <v>Regimen</v>
      </c>
      <c r="E927" s="26" t="str">
        <f>VLOOKUP(A927,Meta.Features!$A:$K,$E$1,FALSE)</f>
        <v>Nominal</v>
      </c>
      <c r="F927" s="3" t="s">
        <v>2599</v>
      </c>
      <c r="G927" s="3" t="s">
        <v>2599</v>
      </c>
      <c r="L927" s="4"/>
    </row>
    <row r="928" spans="1:12" ht="18" customHeight="1" x14ac:dyDescent="0.3">
      <c r="A928" s="28">
        <v>133</v>
      </c>
      <c r="B928" s="26" t="str">
        <f>VLOOKUP(A928,Meta.Features!$A:$G,$B$1,FALSE)</f>
        <v>SystemicTherapy</v>
      </c>
      <c r="C928" s="26" t="str">
        <f>VLOOKUP(A928,Meta.Features!$A:$G,$C$1,FALSE)</f>
        <v>systemische_therapie_protokoll</v>
      </c>
      <c r="D928" s="26" t="str">
        <f>VLOOKUP(A928,Meta.Features!$A:$G,$D$1,FALSE)</f>
        <v>Regimen</v>
      </c>
      <c r="E928" s="26" t="str">
        <f>VLOOKUP(A928,Meta.Features!$A:$K,$E$1,FALSE)</f>
        <v>Nominal</v>
      </c>
      <c r="F928" s="3" t="s">
        <v>1768</v>
      </c>
      <c r="G928" s="3" t="s">
        <v>1768</v>
      </c>
      <c r="L928" s="4"/>
    </row>
    <row r="929" spans="1:12" ht="18" customHeight="1" x14ac:dyDescent="0.3">
      <c r="A929" s="28">
        <v>133</v>
      </c>
      <c r="B929" s="26" t="str">
        <f>VLOOKUP(A929,Meta.Features!$A:$G,$B$1,FALSE)</f>
        <v>SystemicTherapy</v>
      </c>
      <c r="C929" s="26" t="str">
        <f>VLOOKUP(A929,Meta.Features!$A:$G,$C$1,FALSE)</f>
        <v>systemische_therapie_protokoll</v>
      </c>
      <c r="D929" s="26" t="str">
        <f>VLOOKUP(A929,Meta.Features!$A:$G,$D$1,FALSE)</f>
        <v>Regimen</v>
      </c>
      <c r="E929" s="26" t="str">
        <f>VLOOKUP(A929,Meta.Features!$A:$K,$E$1,FALSE)</f>
        <v>Nominal</v>
      </c>
      <c r="F929" s="3" t="s">
        <v>2600</v>
      </c>
      <c r="G929" s="3" t="s">
        <v>2600</v>
      </c>
      <c r="L929" s="4"/>
    </row>
    <row r="930" spans="1:12" ht="18" customHeight="1" x14ac:dyDescent="0.3">
      <c r="A930" s="28">
        <v>133</v>
      </c>
      <c r="B930" s="26" t="str">
        <f>VLOOKUP(A930,Meta.Features!$A:$G,$B$1,FALSE)</f>
        <v>SystemicTherapy</v>
      </c>
      <c r="C930" s="26" t="str">
        <f>VLOOKUP(A930,Meta.Features!$A:$G,$C$1,FALSE)</f>
        <v>systemische_therapie_protokoll</v>
      </c>
      <c r="D930" s="26" t="str">
        <f>VLOOKUP(A930,Meta.Features!$A:$G,$D$1,FALSE)</f>
        <v>Regimen</v>
      </c>
      <c r="E930" s="26" t="str">
        <f>VLOOKUP(A930,Meta.Features!$A:$K,$E$1,FALSE)</f>
        <v>Nominal</v>
      </c>
      <c r="F930" s="3" t="s">
        <v>2601</v>
      </c>
      <c r="G930" s="3" t="s">
        <v>2601</v>
      </c>
      <c r="L930" s="4"/>
    </row>
    <row r="931" spans="1:12" ht="18" customHeight="1" x14ac:dyDescent="0.3">
      <c r="A931" s="28">
        <v>133</v>
      </c>
      <c r="B931" s="26" t="str">
        <f>VLOOKUP(A931,Meta.Features!$A:$G,$B$1,FALSE)</f>
        <v>SystemicTherapy</v>
      </c>
      <c r="C931" s="26" t="str">
        <f>VLOOKUP(A931,Meta.Features!$A:$G,$C$1,FALSE)</f>
        <v>systemische_therapie_protokoll</v>
      </c>
      <c r="D931" s="26" t="str">
        <f>VLOOKUP(A931,Meta.Features!$A:$G,$D$1,FALSE)</f>
        <v>Regimen</v>
      </c>
      <c r="E931" s="26" t="str">
        <f>VLOOKUP(A931,Meta.Features!$A:$K,$E$1,FALSE)</f>
        <v>Nominal</v>
      </c>
      <c r="F931" s="3" t="s">
        <v>2368</v>
      </c>
      <c r="G931" s="3" t="s">
        <v>2368</v>
      </c>
      <c r="L931" s="4"/>
    </row>
    <row r="932" spans="1:12" ht="18" customHeight="1" x14ac:dyDescent="0.3">
      <c r="A932" s="28">
        <v>133</v>
      </c>
      <c r="B932" s="26" t="str">
        <f>VLOOKUP(A932,Meta.Features!$A:$G,$B$1,FALSE)</f>
        <v>SystemicTherapy</v>
      </c>
      <c r="C932" s="26" t="str">
        <f>VLOOKUP(A932,Meta.Features!$A:$G,$C$1,FALSE)</f>
        <v>systemische_therapie_protokoll</v>
      </c>
      <c r="D932" s="26" t="str">
        <f>VLOOKUP(A932,Meta.Features!$A:$G,$D$1,FALSE)</f>
        <v>Regimen</v>
      </c>
      <c r="E932" s="26" t="str">
        <f>VLOOKUP(A932,Meta.Features!$A:$K,$E$1,FALSE)</f>
        <v>Nominal</v>
      </c>
      <c r="F932" s="3" t="s">
        <v>2369</v>
      </c>
      <c r="G932" s="3" t="s">
        <v>2369</v>
      </c>
      <c r="L932" s="4"/>
    </row>
    <row r="933" spans="1:12" ht="18" customHeight="1" x14ac:dyDescent="0.3">
      <c r="A933" s="28">
        <v>133</v>
      </c>
      <c r="B933" s="26" t="str">
        <f>VLOOKUP(A933,Meta.Features!$A:$G,$B$1,FALSE)</f>
        <v>SystemicTherapy</v>
      </c>
      <c r="C933" s="26" t="str">
        <f>VLOOKUP(A933,Meta.Features!$A:$G,$C$1,FALSE)</f>
        <v>systemische_therapie_protokoll</v>
      </c>
      <c r="D933" s="26" t="str">
        <f>VLOOKUP(A933,Meta.Features!$A:$G,$D$1,FALSE)</f>
        <v>Regimen</v>
      </c>
      <c r="E933" s="26" t="str">
        <f>VLOOKUP(A933,Meta.Features!$A:$K,$E$1,FALSE)</f>
        <v>Nominal</v>
      </c>
      <c r="F933" s="3" t="s">
        <v>2602</v>
      </c>
      <c r="G933" s="3" t="s">
        <v>2602</v>
      </c>
      <c r="L933" s="4"/>
    </row>
    <row r="934" spans="1:12" ht="18" customHeight="1" x14ac:dyDescent="0.3">
      <c r="A934" s="28">
        <v>133</v>
      </c>
      <c r="B934" s="26" t="str">
        <f>VLOOKUP(A934,Meta.Features!$A:$G,$B$1,FALSE)</f>
        <v>SystemicTherapy</v>
      </c>
      <c r="C934" s="26" t="str">
        <f>VLOOKUP(A934,Meta.Features!$A:$G,$C$1,FALSE)</f>
        <v>systemische_therapie_protokoll</v>
      </c>
      <c r="D934" s="26" t="str">
        <f>VLOOKUP(A934,Meta.Features!$A:$G,$D$1,FALSE)</f>
        <v>Regimen</v>
      </c>
      <c r="E934" s="26" t="str">
        <f>VLOOKUP(A934,Meta.Features!$A:$K,$E$1,FALSE)</f>
        <v>Nominal</v>
      </c>
      <c r="F934" s="3" t="s">
        <v>2603</v>
      </c>
      <c r="G934" s="3" t="s">
        <v>2603</v>
      </c>
      <c r="L934" s="4"/>
    </row>
    <row r="935" spans="1:12" ht="18" customHeight="1" x14ac:dyDescent="0.3">
      <c r="A935" s="28">
        <v>133</v>
      </c>
      <c r="B935" s="26" t="str">
        <f>VLOOKUP(A935,Meta.Features!$A:$G,$B$1,FALSE)</f>
        <v>SystemicTherapy</v>
      </c>
      <c r="C935" s="26" t="str">
        <f>VLOOKUP(A935,Meta.Features!$A:$G,$C$1,FALSE)</f>
        <v>systemische_therapie_protokoll</v>
      </c>
      <c r="D935" s="26" t="str">
        <f>VLOOKUP(A935,Meta.Features!$A:$G,$D$1,FALSE)</f>
        <v>Regimen</v>
      </c>
      <c r="E935" s="26" t="str">
        <f>VLOOKUP(A935,Meta.Features!$A:$K,$E$1,FALSE)</f>
        <v>Nominal</v>
      </c>
      <c r="F935" s="3" t="s">
        <v>2604</v>
      </c>
      <c r="G935" s="3" t="s">
        <v>2604</v>
      </c>
      <c r="L935" s="4"/>
    </row>
    <row r="936" spans="1:12" ht="18" customHeight="1" x14ac:dyDescent="0.3">
      <c r="A936" s="28">
        <v>133</v>
      </c>
      <c r="B936" s="26" t="str">
        <f>VLOOKUP(A936,Meta.Features!$A:$G,$B$1,FALSE)</f>
        <v>SystemicTherapy</v>
      </c>
      <c r="C936" s="26" t="str">
        <f>VLOOKUP(A936,Meta.Features!$A:$G,$C$1,FALSE)</f>
        <v>systemische_therapie_protokoll</v>
      </c>
      <c r="D936" s="26" t="str">
        <f>VLOOKUP(A936,Meta.Features!$A:$G,$D$1,FALSE)</f>
        <v>Regimen</v>
      </c>
      <c r="E936" s="26" t="str">
        <f>VLOOKUP(A936,Meta.Features!$A:$K,$E$1,FALSE)</f>
        <v>Nominal</v>
      </c>
      <c r="F936" s="3" t="s">
        <v>2370</v>
      </c>
      <c r="G936" s="3" t="s">
        <v>2370</v>
      </c>
      <c r="L936" s="4"/>
    </row>
    <row r="937" spans="1:12" ht="18" customHeight="1" x14ac:dyDescent="0.3">
      <c r="A937" s="28">
        <v>133</v>
      </c>
      <c r="B937" s="26" t="str">
        <f>VLOOKUP(A937,Meta.Features!$A:$G,$B$1,FALSE)</f>
        <v>SystemicTherapy</v>
      </c>
      <c r="C937" s="26" t="str">
        <f>VLOOKUP(A937,Meta.Features!$A:$G,$C$1,FALSE)</f>
        <v>systemische_therapie_protokoll</v>
      </c>
      <c r="D937" s="26" t="str">
        <f>VLOOKUP(A937,Meta.Features!$A:$G,$D$1,FALSE)</f>
        <v>Regimen</v>
      </c>
      <c r="E937" s="26" t="str">
        <f>VLOOKUP(A937,Meta.Features!$A:$K,$E$1,FALSE)</f>
        <v>Nominal</v>
      </c>
      <c r="F937" s="3" t="s">
        <v>2371</v>
      </c>
      <c r="G937" s="3" t="s">
        <v>2371</v>
      </c>
      <c r="L937" s="4"/>
    </row>
    <row r="938" spans="1:12" ht="18" customHeight="1" x14ac:dyDescent="0.3">
      <c r="A938" s="28">
        <v>133</v>
      </c>
      <c r="B938" s="26" t="str">
        <f>VLOOKUP(A938,Meta.Features!$A:$G,$B$1,FALSE)</f>
        <v>SystemicTherapy</v>
      </c>
      <c r="C938" s="26" t="str">
        <f>VLOOKUP(A938,Meta.Features!$A:$G,$C$1,FALSE)</f>
        <v>systemische_therapie_protokoll</v>
      </c>
      <c r="D938" s="26" t="str">
        <f>VLOOKUP(A938,Meta.Features!$A:$G,$D$1,FALSE)</f>
        <v>Regimen</v>
      </c>
      <c r="E938" s="26" t="str">
        <f>VLOOKUP(A938,Meta.Features!$A:$K,$E$1,FALSE)</f>
        <v>Nominal</v>
      </c>
      <c r="F938" s="3" t="s">
        <v>2605</v>
      </c>
      <c r="G938" s="3" t="s">
        <v>2605</v>
      </c>
      <c r="L938" s="4"/>
    </row>
    <row r="939" spans="1:12" ht="18" customHeight="1" x14ac:dyDescent="0.3">
      <c r="A939" s="28">
        <v>133</v>
      </c>
      <c r="B939" s="26" t="str">
        <f>VLOOKUP(A939,Meta.Features!$A:$G,$B$1,FALSE)</f>
        <v>SystemicTherapy</v>
      </c>
      <c r="C939" s="26" t="str">
        <f>VLOOKUP(A939,Meta.Features!$A:$G,$C$1,FALSE)</f>
        <v>systemische_therapie_protokoll</v>
      </c>
      <c r="D939" s="26" t="str">
        <f>VLOOKUP(A939,Meta.Features!$A:$G,$D$1,FALSE)</f>
        <v>Regimen</v>
      </c>
      <c r="E939" s="26" t="str">
        <f>VLOOKUP(A939,Meta.Features!$A:$K,$E$1,FALSE)</f>
        <v>Nominal</v>
      </c>
      <c r="F939" s="3" t="s">
        <v>2372</v>
      </c>
      <c r="G939" s="3" t="s">
        <v>2372</v>
      </c>
      <c r="L939" s="4"/>
    </row>
    <row r="940" spans="1:12" ht="18" customHeight="1" x14ac:dyDescent="0.3">
      <c r="A940" s="28">
        <v>133</v>
      </c>
      <c r="B940" s="26" t="str">
        <f>VLOOKUP(A940,Meta.Features!$A:$G,$B$1,FALSE)</f>
        <v>SystemicTherapy</v>
      </c>
      <c r="C940" s="26" t="str">
        <f>VLOOKUP(A940,Meta.Features!$A:$G,$C$1,FALSE)</f>
        <v>systemische_therapie_protokoll</v>
      </c>
      <c r="D940" s="26" t="str">
        <f>VLOOKUP(A940,Meta.Features!$A:$G,$D$1,FALSE)</f>
        <v>Regimen</v>
      </c>
      <c r="E940" s="26" t="str">
        <f>VLOOKUP(A940,Meta.Features!$A:$K,$E$1,FALSE)</f>
        <v>Nominal</v>
      </c>
      <c r="F940" s="3" t="s">
        <v>1690</v>
      </c>
      <c r="G940" s="3" t="s">
        <v>1690</v>
      </c>
      <c r="L940" s="4"/>
    </row>
    <row r="941" spans="1:12" ht="18" customHeight="1" x14ac:dyDescent="0.3">
      <c r="A941" s="28">
        <v>133</v>
      </c>
      <c r="B941" s="26" t="str">
        <f>VLOOKUP(A941,Meta.Features!$A:$G,$B$1,FALSE)</f>
        <v>SystemicTherapy</v>
      </c>
      <c r="C941" s="26" t="str">
        <f>VLOOKUP(A941,Meta.Features!$A:$G,$C$1,FALSE)</f>
        <v>systemische_therapie_protokoll</v>
      </c>
      <c r="D941" s="26" t="str">
        <f>VLOOKUP(A941,Meta.Features!$A:$G,$D$1,FALSE)</f>
        <v>Regimen</v>
      </c>
      <c r="E941" s="26" t="str">
        <f>VLOOKUP(A941,Meta.Features!$A:$K,$E$1,FALSE)</f>
        <v>Nominal</v>
      </c>
      <c r="F941" s="3" t="s">
        <v>2606</v>
      </c>
      <c r="G941" s="3" t="s">
        <v>2606</v>
      </c>
      <c r="L941" s="4"/>
    </row>
    <row r="942" spans="1:12" ht="18" customHeight="1" x14ac:dyDescent="0.3">
      <c r="A942" s="28">
        <v>133</v>
      </c>
      <c r="B942" s="26" t="str">
        <f>VLOOKUP(A942,Meta.Features!$A:$G,$B$1,FALSE)</f>
        <v>SystemicTherapy</v>
      </c>
      <c r="C942" s="26" t="str">
        <f>VLOOKUP(A942,Meta.Features!$A:$G,$C$1,FALSE)</f>
        <v>systemische_therapie_protokoll</v>
      </c>
      <c r="D942" s="26" t="str">
        <f>VLOOKUP(A942,Meta.Features!$A:$G,$D$1,FALSE)</f>
        <v>Regimen</v>
      </c>
      <c r="E942" s="26" t="str">
        <f>VLOOKUP(A942,Meta.Features!$A:$K,$E$1,FALSE)</f>
        <v>Nominal</v>
      </c>
      <c r="F942" s="3" t="s">
        <v>2607</v>
      </c>
      <c r="G942" s="3" t="s">
        <v>2607</v>
      </c>
      <c r="L942" s="4"/>
    </row>
    <row r="943" spans="1:12" ht="18" customHeight="1" x14ac:dyDescent="0.3">
      <c r="A943" s="28">
        <v>133</v>
      </c>
      <c r="B943" s="26" t="str">
        <f>VLOOKUP(A943,Meta.Features!$A:$G,$B$1,FALSE)</f>
        <v>SystemicTherapy</v>
      </c>
      <c r="C943" s="26" t="str">
        <f>VLOOKUP(A943,Meta.Features!$A:$G,$C$1,FALSE)</f>
        <v>systemische_therapie_protokoll</v>
      </c>
      <c r="D943" s="26" t="str">
        <f>VLOOKUP(A943,Meta.Features!$A:$G,$D$1,FALSE)</f>
        <v>Regimen</v>
      </c>
      <c r="E943" s="26" t="str">
        <f>VLOOKUP(A943,Meta.Features!$A:$K,$E$1,FALSE)</f>
        <v>Nominal</v>
      </c>
      <c r="F943" s="3" t="s">
        <v>2373</v>
      </c>
      <c r="G943" s="3" t="s">
        <v>2373</v>
      </c>
      <c r="L943" s="4"/>
    </row>
    <row r="944" spans="1:12" ht="18" customHeight="1" x14ac:dyDescent="0.3">
      <c r="A944" s="28">
        <v>133</v>
      </c>
      <c r="B944" s="26" t="str">
        <f>VLOOKUP(A944,Meta.Features!$A:$G,$B$1,FALSE)</f>
        <v>SystemicTherapy</v>
      </c>
      <c r="C944" s="26" t="str">
        <f>VLOOKUP(A944,Meta.Features!$A:$G,$C$1,FALSE)</f>
        <v>systemische_therapie_protokoll</v>
      </c>
      <c r="D944" s="26" t="str">
        <f>VLOOKUP(A944,Meta.Features!$A:$G,$D$1,FALSE)</f>
        <v>Regimen</v>
      </c>
      <c r="E944" s="26" t="str">
        <f>VLOOKUP(A944,Meta.Features!$A:$K,$E$1,FALSE)</f>
        <v>Nominal</v>
      </c>
      <c r="F944" s="3" t="s">
        <v>2608</v>
      </c>
      <c r="G944" s="3" t="s">
        <v>2608</v>
      </c>
      <c r="L944" s="4"/>
    </row>
    <row r="945" spans="1:12" ht="18" customHeight="1" x14ac:dyDescent="0.3">
      <c r="A945" s="28">
        <v>133</v>
      </c>
      <c r="B945" s="26" t="str">
        <f>VLOOKUP(A945,Meta.Features!$A:$G,$B$1,FALSE)</f>
        <v>SystemicTherapy</v>
      </c>
      <c r="C945" s="26" t="str">
        <f>VLOOKUP(A945,Meta.Features!$A:$G,$C$1,FALSE)</f>
        <v>systemische_therapie_protokoll</v>
      </c>
      <c r="D945" s="26" t="str">
        <f>VLOOKUP(A945,Meta.Features!$A:$G,$D$1,FALSE)</f>
        <v>Regimen</v>
      </c>
      <c r="E945" s="26" t="str">
        <f>VLOOKUP(A945,Meta.Features!$A:$K,$E$1,FALSE)</f>
        <v>Nominal</v>
      </c>
      <c r="F945" s="3" t="s">
        <v>2609</v>
      </c>
      <c r="G945" s="3" t="s">
        <v>2609</v>
      </c>
      <c r="L945" s="4"/>
    </row>
    <row r="946" spans="1:12" ht="18" customHeight="1" x14ac:dyDescent="0.3">
      <c r="A946" s="28">
        <v>133</v>
      </c>
      <c r="B946" s="26" t="str">
        <f>VLOOKUP(A946,Meta.Features!$A:$G,$B$1,FALSE)</f>
        <v>SystemicTherapy</v>
      </c>
      <c r="C946" s="26" t="str">
        <f>VLOOKUP(A946,Meta.Features!$A:$G,$C$1,FALSE)</f>
        <v>systemische_therapie_protokoll</v>
      </c>
      <c r="D946" s="26" t="str">
        <f>VLOOKUP(A946,Meta.Features!$A:$G,$D$1,FALSE)</f>
        <v>Regimen</v>
      </c>
      <c r="E946" s="26" t="str">
        <f>VLOOKUP(A946,Meta.Features!$A:$K,$E$1,FALSE)</f>
        <v>Nominal</v>
      </c>
      <c r="F946" s="3" t="s">
        <v>2610</v>
      </c>
      <c r="G946" s="3" t="s">
        <v>2610</v>
      </c>
      <c r="L946" s="4"/>
    </row>
    <row r="947" spans="1:12" ht="18" customHeight="1" x14ac:dyDescent="0.3">
      <c r="A947" s="28">
        <v>133</v>
      </c>
      <c r="B947" s="26" t="str">
        <f>VLOOKUP(A947,Meta.Features!$A:$G,$B$1,FALSE)</f>
        <v>SystemicTherapy</v>
      </c>
      <c r="C947" s="26" t="str">
        <f>VLOOKUP(A947,Meta.Features!$A:$G,$C$1,FALSE)</f>
        <v>systemische_therapie_protokoll</v>
      </c>
      <c r="D947" s="26" t="str">
        <f>VLOOKUP(A947,Meta.Features!$A:$G,$D$1,FALSE)</f>
        <v>Regimen</v>
      </c>
      <c r="E947" s="26" t="str">
        <f>VLOOKUP(A947,Meta.Features!$A:$K,$E$1,FALSE)</f>
        <v>Nominal</v>
      </c>
      <c r="F947" s="3" t="s">
        <v>2611</v>
      </c>
      <c r="G947" s="3" t="s">
        <v>2611</v>
      </c>
      <c r="L947" s="4"/>
    </row>
    <row r="948" spans="1:12" ht="18" customHeight="1" x14ac:dyDescent="0.3">
      <c r="A948" s="28">
        <v>133</v>
      </c>
      <c r="B948" s="26" t="str">
        <f>VLOOKUP(A948,Meta.Features!$A:$G,$B$1,FALSE)</f>
        <v>SystemicTherapy</v>
      </c>
      <c r="C948" s="26" t="str">
        <f>VLOOKUP(A948,Meta.Features!$A:$G,$C$1,FALSE)</f>
        <v>systemische_therapie_protokoll</v>
      </c>
      <c r="D948" s="26" t="str">
        <f>VLOOKUP(A948,Meta.Features!$A:$G,$D$1,FALSE)</f>
        <v>Regimen</v>
      </c>
      <c r="E948" s="26" t="str">
        <f>VLOOKUP(A948,Meta.Features!$A:$K,$E$1,FALSE)</f>
        <v>Nominal</v>
      </c>
      <c r="F948" s="3" t="s">
        <v>2374</v>
      </c>
      <c r="G948" s="3" t="s">
        <v>2374</v>
      </c>
      <c r="L948" s="4"/>
    </row>
    <row r="949" spans="1:12" ht="18" customHeight="1" x14ac:dyDescent="0.3">
      <c r="A949" s="28">
        <v>133</v>
      </c>
      <c r="B949" s="26" t="str">
        <f>VLOOKUP(A949,Meta.Features!$A:$G,$B$1,FALSE)</f>
        <v>SystemicTherapy</v>
      </c>
      <c r="C949" s="26" t="str">
        <f>VLOOKUP(A949,Meta.Features!$A:$G,$C$1,FALSE)</f>
        <v>systemische_therapie_protokoll</v>
      </c>
      <c r="D949" s="26" t="str">
        <f>VLOOKUP(A949,Meta.Features!$A:$G,$D$1,FALSE)</f>
        <v>Regimen</v>
      </c>
      <c r="E949" s="26" t="str">
        <f>VLOOKUP(A949,Meta.Features!$A:$K,$E$1,FALSE)</f>
        <v>Nominal</v>
      </c>
      <c r="F949" s="3" t="s">
        <v>2612</v>
      </c>
      <c r="G949" s="3" t="s">
        <v>2612</v>
      </c>
      <c r="L949" s="4"/>
    </row>
    <row r="950" spans="1:12" ht="18" customHeight="1" x14ac:dyDescent="0.3">
      <c r="A950" s="28">
        <v>133</v>
      </c>
      <c r="B950" s="26" t="str">
        <f>VLOOKUP(A950,Meta.Features!$A:$G,$B$1,FALSE)</f>
        <v>SystemicTherapy</v>
      </c>
      <c r="C950" s="26" t="str">
        <f>VLOOKUP(A950,Meta.Features!$A:$G,$C$1,FALSE)</f>
        <v>systemische_therapie_protokoll</v>
      </c>
      <c r="D950" s="26" t="str">
        <f>VLOOKUP(A950,Meta.Features!$A:$G,$D$1,FALSE)</f>
        <v>Regimen</v>
      </c>
      <c r="E950" s="26" t="str">
        <f>VLOOKUP(A950,Meta.Features!$A:$K,$E$1,FALSE)</f>
        <v>Nominal</v>
      </c>
      <c r="F950" s="3" t="s">
        <v>2375</v>
      </c>
      <c r="G950" s="3" t="s">
        <v>2375</v>
      </c>
      <c r="L950" s="4"/>
    </row>
    <row r="951" spans="1:12" ht="18" customHeight="1" x14ac:dyDescent="0.3">
      <c r="A951" s="28">
        <v>133</v>
      </c>
      <c r="B951" s="26" t="str">
        <f>VLOOKUP(A951,Meta.Features!$A:$G,$B$1,FALSE)</f>
        <v>SystemicTherapy</v>
      </c>
      <c r="C951" s="26" t="str">
        <f>VLOOKUP(A951,Meta.Features!$A:$G,$C$1,FALSE)</f>
        <v>systemische_therapie_protokoll</v>
      </c>
      <c r="D951" s="26" t="str">
        <f>VLOOKUP(A951,Meta.Features!$A:$G,$D$1,FALSE)</f>
        <v>Regimen</v>
      </c>
      <c r="E951" s="26" t="str">
        <f>VLOOKUP(A951,Meta.Features!$A:$K,$E$1,FALSE)</f>
        <v>Nominal</v>
      </c>
      <c r="F951" s="3" t="s">
        <v>2376</v>
      </c>
      <c r="G951" s="3" t="s">
        <v>2376</v>
      </c>
      <c r="L951" s="4"/>
    </row>
    <row r="952" spans="1:12" ht="18" customHeight="1" x14ac:dyDescent="0.3">
      <c r="A952" s="28">
        <v>133</v>
      </c>
      <c r="B952" s="26" t="str">
        <f>VLOOKUP(A952,Meta.Features!$A:$G,$B$1,FALSE)</f>
        <v>SystemicTherapy</v>
      </c>
      <c r="C952" s="26" t="str">
        <f>VLOOKUP(A952,Meta.Features!$A:$G,$C$1,FALSE)</f>
        <v>systemische_therapie_protokoll</v>
      </c>
      <c r="D952" s="26" t="str">
        <f>VLOOKUP(A952,Meta.Features!$A:$G,$D$1,FALSE)</f>
        <v>Regimen</v>
      </c>
      <c r="E952" s="26" t="str">
        <f>VLOOKUP(A952,Meta.Features!$A:$K,$E$1,FALSE)</f>
        <v>Nominal</v>
      </c>
      <c r="F952" s="3" t="s">
        <v>2377</v>
      </c>
      <c r="G952" s="3" t="s">
        <v>2377</v>
      </c>
      <c r="L952" s="4"/>
    </row>
    <row r="953" spans="1:12" ht="18" customHeight="1" x14ac:dyDescent="0.3">
      <c r="A953" s="28">
        <v>133</v>
      </c>
      <c r="B953" s="26" t="str">
        <f>VLOOKUP(A953,Meta.Features!$A:$G,$B$1,FALSE)</f>
        <v>SystemicTherapy</v>
      </c>
      <c r="C953" s="26" t="str">
        <f>VLOOKUP(A953,Meta.Features!$A:$G,$C$1,FALSE)</f>
        <v>systemische_therapie_protokoll</v>
      </c>
      <c r="D953" s="26" t="str">
        <f>VLOOKUP(A953,Meta.Features!$A:$G,$D$1,FALSE)</f>
        <v>Regimen</v>
      </c>
      <c r="E953" s="26" t="str">
        <f>VLOOKUP(A953,Meta.Features!$A:$K,$E$1,FALSE)</f>
        <v>Nominal</v>
      </c>
      <c r="F953" s="3" t="s">
        <v>2378</v>
      </c>
      <c r="G953" s="3" t="s">
        <v>2378</v>
      </c>
      <c r="L953" s="4"/>
    </row>
    <row r="954" spans="1:12" ht="18" customHeight="1" x14ac:dyDescent="0.3">
      <c r="A954" s="28">
        <v>133</v>
      </c>
      <c r="B954" s="26" t="str">
        <f>VLOOKUP(A954,Meta.Features!$A:$G,$B$1,FALSE)</f>
        <v>SystemicTherapy</v>
      </c>
      <c r="C954" s="26" t="str">
        <f>VLOOKUP(A954,Meta.Features!$A:$G,$C$1,FALSE)</f>
        <v>systemische_therapie_protokoll</v>
      </c>
      <c r="D954" s="26" t="str">
        <f>VLOOKUP(A954,Meta.Features!$A:$G,$D$1,FALSE)</f>
        <v>Regimen</v>
      </c>
      <c r="E954" s="26" t="str">
        <f>VLOOKUP(A954,Meta.Features!$A:$K,$E$1,FALSE)</f>
        <v>Nominal</v>
      </c>
      <c r="F954" s="3" t="s">
        <v>2379</v>
      </c>
      <c r="G954" s="3" t="s">
        <v>2379</v>
      </c>
      <c r="L954" s="4"/>
    </row>
    <row r="955" spans="1:12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1962</v>
      </c>
      <c r="G955" s="45" t="s">
        <v>1962</v>
      </c>
      <c r="H955" s="6"/>
    </row>
    <row r="956" spans="1:12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2051</v>
      </c>
      <c r="G956" s="45" t="s">
        <v>2051</v>
      </c>
      <c r="H956" s="6"/>
    </row>
    <row r="957" spans="1:12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1738</v>
      </c>
      <c r="G957" s="45" t="s">
        <v>1738</v>
      </c>
      <c r="H957" s="6"/>
    </row>
    <row r="958" spans="1:12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2050</v>
      </c>
      <c r="G958" s="45" t="s">
        <v>2050</v>
      </c>
      <c r="H958" s="6"/>
    </row>
    <row r="959" spans="1:12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1964</v>
      </c>
      <c r="G959" s="45" t="s">
        <v>1964</v>
      </c>
      <c r="H959" s="6"/>
    </row>
    <row r="960" spans="1:12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1966</v>
      </c>
      <c r="G960" s="45" t="s">
        <v>1966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1755</v>
      </c>
      <c r="G961" s="45" t="s">
        <v>1755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1695</v>
      </c>
      <c r="G962" s="45" t="s">
        <v>1695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1929</v>
      </c>
      <c r="G963" s="45" t="s">
        <v>1929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2060</v>
      </c>
      <c r="G964" s="45" t="s">
        <v>2060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2451</v>
      </c>
      <c r="G965" s="45" t="s">
        <v>2451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1715</v>
      </c>
      <c r="G966" s="45" t="s">
        <v>1715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2059</v>
      </c>
      <c r="G967" s="45" t="s">
        <v>2059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1915</v>
      </c>
      <c r="G968" s="45" t="s">
        <v>1915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1989</v>
      </c>
      <c r="G969" s="45" t="s">
        <v>1989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1998</v>
      </c>
      <c r="G970" s="45" t="s">
        <v>1998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1729</v>
      </c>
      <c r="G971" s="45" t="s">
        <v>1729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2048</v>
      </c>
      <c r="G972" s="45" t="s">
        <v>2048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2108</v>
      </c>
      <c r="G973" s="45" t="s">
        <v>2108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1865</v>
      </c>
      <c r="G974" s="45" t="s">
        <v>1865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1894</v>
      </c>
      <c r="G975" s="45" t="s">
        <v>1894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1761</v>
      </c>
      <c r="G976" s="45" t="s">
        <v>1761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1897</v>
      </c>
      <c r="G977" s="45" t="s">
        <v>1897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1955</v>
      </c>
      <c r="G978" s="45" t="s">
        <v>1955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1859</v>
      </c>
      <c r="G979" s="45" t="s">
        <v>1859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1838</v>
      </c>
      <c r="G980" s="45" t="s">
        <v>1838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1701</v>
      </c>
      <c r="G981" s="45" t="s">
        <v>1701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1895</v>
      </c>
      <c r="G982" s="45" t="s">
        <v>1895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1911</v>
      </c>
      <c r="G983" s="45" t="s">
        <v>1911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2066</v>
      </c>
      <c r="G984" s="45" t="s">
        <v>2066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1957</v>
      </c>
      <c r="G985" s="45" t="s">
        <v>1957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1971</v>
      </c>
      <c r="G986" s="45" t="s">
        <v>1971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2005</v>
      </c>
      <c r="G987" s="45" t="s">
        <v>2005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2035</v>
      </c>
      <c r="G988" s="45" t="s">
        <v>2035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2013</v>
      </c>
      <c r="G989" s="45" t="s">
        <v>2013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1689</v>
      </c>
      <c r="G990" s="45" t="s">
        <v>1689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2043</v>
      </c>
      <c r="G991" s="45" t="s">
        <v>2043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2113</v>
      </c>
      <c r="G992" s="45" t="s">
        <v>2113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2045</v>
      </c>
      <c r="G993" s="45" t="s">
        <v>2045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2046</v>
      </c>
      <c r="G994" s="45" t="s">
        <v>2046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1953</v>
      </c>
      <c r="G995" s="45" t="s">
        <v>1953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2053</v>
      </c>
      <c r="G996" s="45" t="s">
        <v>2053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1908</v>
      </c>
      <c r="G997" s="45" t="s">
        <v>1908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1712</v>
      </c>
      <c r="G998" s="45" t="s">
        <v>1712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1896</v>
      </c>
      <c r="G999" s="45" t="s">
        <v>1896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1811</v>
      </c>
      <c r="G1000" s="45" t="s">
        <v>1811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1723</v>
      </c>
      <c r="G1001" s="45" t="s">
        <v>1723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2121</v>
      </c>
      <c r="G1002" s="45" t="s">
        <v>2121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1784</v>
      </c>
      <c r="G1003" s="45" t="s">
        <v>1784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1810</v>
      </c>
      <c r="G1004" s="45" t="s">
        <v>1810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1887</v>
      </c>
      <c r="G1005" s="45" t="s">
        <v>1887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1750</v>
      </c>
      <c r="G1006" s="45" t="s">
        <v>1750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1660</v>
      </c>
      <c r="G1007" s="45" t="s">
        <v>1660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2125</v>
      </c>
      <c r="G1008" s="45" t="s">
        <v>2125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2453</v>
      </c>
      <c r="G1009" s="45" t="s">
        <v>2453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2004</v>
      </c>
      <c r="G1010" s="45" t="s">
        <v>2004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2001</v>
      </c>
      <c r="G1011" s="45" t="s">
        <v>2001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1974</v>
      </c>
      <c r="G1012" s="45" t="s">
        <v>1974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2096</v>
      </c>
      <c r="G1013" s="45" t="s">
        <v>2096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2065</v>
      </c>
      <c r="G1014" s="45" t="s">
        <v>2065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2019</v>
      </c>
      <c r="G1015" s="45" t="s">
        <v>2019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2109</v>
      </c>
      <c r="G1016" s="45" t="s">
        <v>2109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1835</v>
      </c>
      <c r="G1017" s="45" t="s">
        <v>1835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2052</v>
      </c>
      <c r="G1018" s="45" t="s">
        <v>2052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2106</v>
      </c>
      <c r="G1019" s="45" t="s">
        <v>2106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1873</v>
      </c>
      <c r="G1020" s="45" t="s">
        <v>1873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1686</v>
      </c>
      <c r="G1021" s="45" t="s">
        <v>1686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2055</v>
      </c>
      <c r="G1022" s="45" t="s">
        <v>2055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1927</v>
      </c>
      <c r="G1023" s="45" t="s">
        <v>1927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2437</v>
      </c>
      <c r="G1024" s="45" t="s">
        <v>2437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1623</v>
      </c>
      <c r="G1025" s="45" t="s">
        <v>1623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1831</v>
      </c>
      <c r="G1026" s="45" t="s">
        <v>1831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1819</v>
      </c>
      <c r="G1027" s="45" t="s">
        <v>1819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1866</v>
      </c>
      <c r="G1028" s="45" t="s">
        <v>1866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1951</v>
      </c>
      <c r="G1029" s="45" t="s">
        <v>1951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2083</v>
      </c>
      <c r="G1030" s="45" t="s">
        <v>2083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1734</v>
      </c>
      <c r="G1031" s="45" t="s">
        <v>1734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1703</v>
      </c>
      <c r="G1032" s="45" t="s">
        <v>1703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1827</v>
      </c>
      <c r="G1033" s="45" t="s">
        <v>1827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1867</v>
      </c>
      <c r="G1034" s="45" t="s">
        <v>1867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1710</v>
      </c>
      <c r="G1035" s="45" t="s">
        <v>1710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1825</v>
      </c>
      <c r="G1036" s="45" t="s">
        <v>1825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1890</v>
      </c>
      <c r="G1037" s="45" t="s">
        <v>1890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2071</v>
      </c>
      <c r="G1038" s="45" t="s">
        <v>2071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1730</v>
      </c>
      <c r="G1039" s="45" t="s">
        <v>1730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2074</v>
      </c>
      <c r="G1040" s="45" t="s">
        <v>2074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1939</v>
      </c>
      <c r="G1041" s="45" t="s">
        <v>1939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1625</v>
      </c>
      <c r="G1042" s="45" t="s">
        <v>1625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1681</v>
      </c>
      <c r="G1043" s="45" t="s">
        <v>1681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1774</v>
      </c>
      <c r="G1044" s="45" t="s">
        <v>1774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2070</v>
      </c>
      <c r="G1045" s="45" t="s">
        <v>2070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1659</v>
      </c>
      <c r="G1046" s="45" t="s">
        <v>1659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1783</v>
      </c>
      <c r="G1047" s="45" t="s">
        <v>1783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1852</v>
      </c>
      <c r="G1048" s="45" t="s">
        <v>1852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1630</v>
      </c>
      <c r="G1049" s="45" t="s">
        <v>1630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1868</v>
      </c>
      <c r="G1050" s="45" t="s">
        <v>1868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1657</v>
      </c>
      <c r="G1051" s="45" t="s">
        <v>1657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1631</v>
      </c>
      <c r="G1052" s="45" t="s">
        <v>1631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1823</v>
      </c>
      <c r="G1053" s="45" t="s">
        <v>1823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1751</v>
      </c>
      <c r="G1054" s="45" t="s">
        <v>1751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1910</v>
      </c>
      <c r="G1055" s="45" t="s">
        <v>1910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1812</v>
      </c>
      <c r="G1056" s="45" t="s">
        <v>1812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1991</v>
      </c>
      <c r="G1057" s="45" t="s">
        <v>1991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2438</v>
      </c>
      <c r="G1058" s="45" t="s">
        <v>2438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1728</v>
      </c>
      <c r="G1059" s="45" t="s">
        <v>1728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2061</v>
      </c>
      <c r="G1060" s="45" t="s">
        <v>2061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1804</v>
      </c>
      <c r="G1061" s="45" t="s">
        <v>1804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1617</v>
      </c>
      <c r="G1062" s="45" t="s">
        <v>1617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1619</v>
      </c>
      <c r="G1063" s="45" t="s">
        <v>1619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1935</v>
      </c>
      <c r="G1064" s="45" t="s">
        <v>1935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2088</v>
      </c>
      <c r="G1065" s="45" t="s">
        <v>2088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1889</v>
      </c>
      <c r="G1066" s="45" t="s">
        <v>1889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1851</v>
      </c>
      <c r="G1067" s="45" t="s">
        <v>1851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1650</v>
      </c>
      <c r="G1068" s="45" t="s">
        <v>1650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1652</v>
      </c>
      <c r="G1069" s="45" t="s">
        <v>1652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1733</v>
      </c>
      <c r="G1070" s="45" t="s">
        <v>1733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1760</v>
      </c>
      <c r="G1071" s="45" t="s">
        <v>1760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2033</v>
      </c>
      <c r="G1072" s="45" t="s">
        <v>2033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1727</v>
      </c>
      <c r="G1073" s="45" t="s">
        <v>1727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1616</v>
      </c>
      <c r="G1074" s="45" t="s">
        <v>1616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2447</v>
      </c>
      <c r="G1075" s="45" t="s">
        <v>2447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1654</v>
      </c>
      <c r="G1076" s="45" t="s">
        <v>1654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2513</v>
      </c>
      <c r="G1077" s="45" t="s">
        <v>2513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2524</v>
      </c>
      <c r="G1078" s="45" t="s">
        <v>2524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1725</v>
      </c>
      <c r="G1079" s="45" t="s">
        <v>1725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1643</v>
      </c>
      <c r="G1080" s="45" t="s">
        <v>1643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2064</v>
      </c>
      <c r="G1081" s="45" t="s">
        <v>2064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1719</v>
      </c>
      <c r="G1082" s="45" t="s">
        <v>1719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1691</v>
      </c>
      <c r="G1083" s="45" t="s">
        <v>1691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1796</v>
      </c>
      <c r="G1084" s="45" t="s">
        <v>1796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1954</v>
      </c>
      <c r="G1085" s="45" t="s">
        <v>1954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2131</v>
      </c>
      <c r="G1086" s="45" t="s">
        <v>2131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1708</v>
      </c>
      <c r="G1087" s="45" t="s">
        <v>1708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2034</v>
      </c>
      <c r="G1088" s="45" t="s">
        <v>2034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2448</v>
      </c>
      <c r="G1089" s="45" t="s">
        <v>2448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1693</v>
      </c>
      <c r="G1090" s="45" t="s">
        <v>1693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1661</v>
      </c>
      <c r="G1091" s="45" t="s">
        <v>1661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1665</v>
      </c>
      <c r="G1092" s="45" t="s">
        <v>1665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1963</v>
      </c>
      <c r="G1093" s="45" t="s">
        <v>1963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1677</v>
      </c>
      <c r="G1094" s="45" t="s">
        <v>1677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1909</v>
      </c>
      <c r="G1095" s="45" t="s">
        <v>1909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2439</v>
      </c>
      <c r="G1096" s="45" t="s">
        <v>2439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2101</v>
      </c>
      <c r="G1097" s="45" t="s">
        <v>2101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2180</v>
      </c>
      <c r="G1098" s="45" t="s">
        <v>2180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1931</v>
      </c>
      <c r="G1099" s="45" t="s">
        <v>1931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2130</v>
      </c>
      <c r="G1100" s="45" t="s">
        <v>2130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1826</v>
      </c>
      <c r="G1101" s="45" t="s">
        <v>1826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2132</v>
      </c>
      <c r="G1102" s="45" t="s">
        <v>2132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2116</v>
      </c>
      <c r="G1103" s="45" t="s">
        <v>2116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1679</v>
      </c>
      <c r="G1104" s="45" t="s">
        <v>1679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1813</v>
      </c>
      <c r="G1105" s="45" t="s">
        <v>1813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1692</v>
      </c>
      <c r="G1106" s="45" t="s">
        <v>1692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2512</v>
      </c>
      <c r="G1107" s="45" t="s">
        <v>2512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1809</v>
      </c>
      <c r="G1108" s="45" t="s">
        <v>1809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1762</v>
      </c>
      <c r="G1109" s="45" t="s">
        <v>1762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2008</v>
      </c>
      <c r="G1110" s="45" t="s">
        <v>2008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2007</v>
      </c>
      <c r="G1111" s="45" t="s">
        <v>2007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2012</v>
      </c>
      <c r="G1112" s="45" t="s">
        <v>2012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2016</v>
      </c>
      <c r="G1113" s="45" t="s">
        <v>2016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2011</v>
      </c>
      <c r="G1114" s="45" t="s">
        <v>2011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2015</v>
      </c>
      <c r="G1115" s="45" t="s">
        <v>2015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2010</v>
      </c>
      <c r="G1116" s="45" t="s">
        <v>2010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2014</v>
      </c>
      <c r="G1117" s="45" t="s">
        <v>2014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2117</v>
      </c>
      <c r="G1118" s="45" t="s">
        <v>2117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1821</v>
      </c>
      <c r="G1119" s="45" t="s">
        <v>1821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2104</v>
      </c>
      <c r="G1120" s="45" t="s">
        <v>2104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1861</v>
      </c>
      <c r="G1121" s="45" t="s">
        <v>1861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1977</v>
      </c>
      <c r="G1122" s="45" t="s">
        <v>1977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2056</v>
      </c>
      <c r="G1123" s="45" t="s">
        <v>2056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1948</v>
      </c>
      <c r="G1124" s="45" t="s">
        <v>1948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2036</v>
      </c>
      <c r="G1125" s="45" t="s">
        <v>2036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1828</v>
      </c>
      <c r="G1126" s="45" t="s">
        <v>1828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2111</v>
      </c>
      <c r="G1127" s="45" t="s">
        <v>2111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1975</v>
      </c>
      <c r="G1128" s="45" t="s">
        <v>1975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1920</v>
      </c>
      <c r="G1129" s="45" t="s">
        <v>1920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1726</v>
      </c>
      <c r="G1130" s="45" t="s">
        <v>1726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1833</v>
      </c>
      <c r="G1131" s="45" t="s">
        <v>1833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2440</v>
      </c>
      <c r="G1132" s="45" t="s">
        <v>2440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2000</v>
      </c>
      <c r="G1133" s="45" t="s">
        <v>2000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2006</v>
      </c>
      <c r="G1134" s="45" t="s">
        <v>2006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1874</v>
      </c>
      <c r="G1135" s="45" t="s">
        <v>1874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2459</v>
      </c>
      <c r="G1136" s="45" t="s">
        <v>2459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1781</v>
      </c>
      <c r="G1137" s="45" t="s">
        <v>1781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1952</v>
      </c>
      <c r="G1138" s="45" t="s">
        <v>1952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1919</v>
      </c>
      <c r="G1139" s="45" t="s">
        <v>1919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1694</v>
      </c>
      <c r="G1140" s="45" t="s">
        <v>1694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1764</v>
      </c>
      <c r="G1141" s="45" t="s">
        <v>1764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1914</v>
      </c>
      <c r="G1142" s="45" t="s">
        <v>1914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1714</v>
      </c>
      <c r="G1143" s="45" t="s">
        <v>1714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2003</v>
      </c>
      <c r="G1144" s="45" t="s">
        <v>2003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1903</v>
      </c>
      <c r="G1145" s="45" t="s">
        <v>1903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2057</v>
      </c>
      <c r="G1146" s="45" t="s">
        <v>2057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1933</v>
      </c>
      <c r="G1147" s="45" t="s">
        <v>1933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1685</v>
      </c>
      <c r="G1148" s="45" t="s">
        <v>1685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1639</v>
      </c>
      <c r="G1149" s="45" t="s">
        <v>1639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1675</v>
      </c>
      <c r="G1150" s="45" t="s">
        <v>1675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1740</v>
      </c>
      <c r="G1151" s="45" t="s">
        <v>1740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1960</v>
      </c>
      <c r="G1152" s="45" t="s">
        <v>1960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1747</v>
      </c>
      <c r="G1153" s="45" t="s">
        <v>1747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2441</v>
      </c>
      <c r="G1154" s="45" t="s">
        <v>2441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2442</v>
      </c>
      <c r="G1155" s="45" t="s">
        <v>2442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2098</v>
      </c>
      <c r="G1156" s="45" t="s">
        <v>2098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1967</v>
      </c>
      <c r="G1157" s="45" t="s">
        <v>1967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2091</v>
      </c>
      <c r="G1158" s="45" t="s">
        <v>2091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1662</v>
      </c>
      <c r="G1159" s="45" t="s">
        <v>1662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1651</v>
      </c>
      <c r="G1160" s="45" t="s">
        <v>1651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1655</v>
      </c>
      <c r="G1161" s="45" t="s">
        <v>1655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1663</v>
      </c>
      <c r="G1162" s="45" t="s">
        <v>1663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1949</v>
      </c>
      <c r="G1163" s="45" t="s">
        <v>1949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2435</v>
      </c>
      <c r="G1164" s="45" t="s">
        <v>2435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1956</v>
      </c>
      <c r="G1165" s="45" t="s">
        <v>1956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1934</v>
      </c>
      <c r="G1166" s="45" t="s">
        <v>1934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1635</v>
      </c>
      <c r="G1167" s="45" t="s">
        <v>1635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1753</v>
      </c>
      <c r="G1168" s="45" t="s">
        <v>1753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1947</v>
      </c>
      <c r="G1169" s="45" t="s">
        <v>1947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1767</v>
      </c>
      <c r="G1170" s="45" t="s">
        <v>1767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1713</v>
      </c>
      <c r="G1171" s="45" t="s">
        <v>1713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1658</v>
      </c>
      <c r="G1172" s="45" t="s">
        <v>1658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1822</v>
      </c>
      <c r="G1173" s="45" t="s">
        <v>1822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1938</v>
      </c>
      <c r="G1174" s="45" t="s">
        <v>1938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1780</v>
      </c>
      <c r="G1175" s="45" t="s">
        <v>1780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1877</v>
      </c>
      <c r="G1176" s="45" t="s">
        <v>1877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2028</v>
      </c>
      <c r="G1177" s="45" t="s">
        <v>2028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1846</v>
      </c>
      <c r="G1178" s="45" t="s">
        <v>1846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2062</v>
      </c>
      <c r="G1179" s="45" t="s">
        <v>2062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1941</v>
      </c>
      <c r="G1180" s="45" t="s">
        <v>1941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2078</v>
      </c>
      <c r="G1181" s="45" t="s">
        <v>2078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2049</v>
      </c>
      <c r="G1182" s="45" t="s">
        <v>2049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2039</v>
      </c>
      <c r="G1183" s="45" t="s">
        <v>2039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2029</v>
      </c>
      <c r="G1184" s="45" t="s">
        <v>2029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1943</v>
      </c>
      <c r="G1185" s="45" t="s">
        <v>1943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2133</v>
      </c>
      <c r="G1186" s="45" t="s">
        <v>2133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1898</v>
      </c>
      <c r="G1187" s="45" t="s">
        <v>1898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1754</v>
      </c>
      <c r="G1188" s="45" t="s">
        <v>1754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1720</v>
      </c>
      <c r="G1189" s="45" t="s">
        <v>1720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1697</v>
      </c>
      <c r="G1190" s="45" t="s">
        <v>1697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1891</v>
      </c>
      <c r="G1191" s="45" t="s">
        <v>1891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1759</v>
      </c>
      <c r="G1192" s="45" t="s">
        <v>1759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1620</v>
      </c>
      <c r="G1193" s="45" t="s">
        <v>1620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1707</v>
      </c>
      <c r="G1194" s="45" t="s">
        <v>1707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2054</v>
      </c>
      <c r="G1195" s="45" t="s">
        <v>2054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2025</v>
      </c>
      <c r="G1196" s="45" t="s">
        <v>2025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2112</v>
      </c>
      <c r="G1197" s="45" t="s">
        <v>2112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1766</v>
      </c>
      <c r="G1198" s="45" t="s">
        <v>1766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2058</v>
      </c>
      <c r="G1199" s="45" t="s">
        <v>2058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2044</v>
      </c>
      <c r="G1200" s="45" t="s">
        <v>2044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1794</v>
      </c>
      <c r="G1201" s="45" t="s">
        <v>1794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1978</v>
      </c>
      <c r="G1202" s="45" t="s">
        <v>1978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1981</v>
      </c>
      <c r="G1203" s="45" t="s">
        <v>1981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1982</v>
      </c>
      <c r="G1204" s="45" t="s">
        <v>1982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1986</v>
      </c>
      <c r="G1205" s="45" t="s">
        <v>1986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1983</v>
      </c>
      <c r="G1206" s="45" t="s">
        <v>1983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1979</v>
      </c>
      <c r="G1207" s="45" t="s">
        <v>1979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1984</v>
      </c>
      <c r="G1208" s="45" t="s">
        <v>1984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1985</v>
      </c>
      <c r="G1209" s="45" t="s">
        <v>1985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1980</v>
      </c>
      <c r="G1210" s="45" t="s">
        <v>1980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1995</v>
      </c>
      <c r="G1211" s="45" t="s">
        <v>1995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1824</v>
      </c>
      <c r="G1212" s="45" t="s">
        <v>1824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1684</v>
      </c>
      <c r="G1213" s="45" t="s">
        <v>1684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2517</v>
      </c>
      <c r="G1214" s="45" t="s">
        <v>2517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1797</v>
      </c>
      <c r="G1215" s="45" t="s">
        <v>1797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2099</v>
      </c>
      <c r="G1216" s="45" t="s">
        <v>2099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1921</v>
      </c>
      <c r="G1217" s="45" t="s">
        <v>1921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1706</v>
      </c>
      <c r="G1218" s="45" t="s">
        <v>1706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1869</v>
      </c>
      <c r="G1219" s="45" t="s">
        <v>1869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2075</v>
      </c>
      <c r="G1220" s="45" t="s">
        <v>2075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2449</v>
      </c>
      <c r="G1221" s="45" t="s">
        <v>2449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1743</v>
      </c>
      <c r="G1222" s="45" t="s">
        <v>1743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1779</v>
      </c>
      <c r="G1223" s="45" t="s">
        <v>1779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1721</v>
      </c>
      <c r="G1224" s="45" t="s">
        <v>1721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2123</v>
      </c>
      <c r="G1225" s="45" t="s">
        <v>2123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2127</v>
      </c>
      <c r="G1226" s="45" t="s">
        <v>2127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2037</v>
      </c>
      <c r="G1227" s="45" t="s">
        <v>2037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1970</v>
      </c>
      <c r="G1228" s="45" t="s">
        <v>1970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2017</v>
      </c>
      <c r="G1229" s="45" t="s">
        <v>2017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1775</v>
      </c>
      <c r="G1230" s="45" t="s">
        <v>1775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1958</v>
      </c>
      <c r="G1231" s="45" t="s">
        <v>1958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2042</v>
      </c>
      <c r="G1232" s="45" t="s">
        <v>2042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1940</v>
      </c>
      <c r="G1233" s="45" t="s">
        <v>1940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1944</v>
      </c>
      <c r="G1234" s="45" t="s">
        <v>1944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2038</v>
      </c>
      <c r="G1235" s="45" t="s">
        <v>2038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2087</v>
      </c>
      <c r="G1236" s="45" t="s">
        <v>2087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1973</v>
      </c>
      <c r="G1237" s="45" t="s">
        <v>1973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1892</v>
      </c>
      <c r="G1238" s="45" t="s">
        <v>1892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1632</v>
      </c>
      <c r="G1239" s="45" t="s">
        <v>1632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1842</v>
      </c>
      <c r="G1240" s="45" t="s">
        <v>1842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1899</v>
      </c>
      <c r="G1241" s="45" t="s">
        <v>1899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1731</v>
      </c>
      <c r="G1242" s="45" t="s">
        <v>1731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1924</v>
      </c>
      <c r="G1243" s="45" t="s">
        <v>1924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1627</v>
      </c>
      <c r="G1244" s="45" t="s">
        <v>1627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1803</v>
      </c>
      <c r="G1245" s="45" t="s">
        <v>1803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1773</v>
      </c>
      <c r="G1246" s="45" t="s">
        <v>1773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1902</v>
      </c>
      <c r="G1247" s="45" t="s">
        <v>1902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1937</v>
      </c>
      <c r="G1248" s="45" t="s">
        <v>1937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1936</v>
      </c>
      <c r="G1249" s="45" t="s">
        <v>1936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2027</v>
      </c>
      <c r="G1250" s="45" t="s">
        <v>2027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1618</v>
      </c>
      <c r="G1251" s="45" t="s">
        <v>1618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1624</v>
      </c>
      <c r="G1252" s="45" t="s">
        <v>1624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1648</v>
      </c>
      <c r="G1253" s="45" t="s">
        <v>1648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1644</v>
      </c>
      <c r="G1254" s="45" t="s">
        <v>1644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1863</v>
      </c>
      <c r="G1255" s="45" t="s">
        <v>1863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1858</v>
      </c>
      <c r="G1256" s="45" t="s">
        <v>1858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1777</v>
      </c>
      <c r="G1257" s="45" t="s">
        <v>1777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2030</v>
      </c>
      <c r="G1258" s="45" t="s">
        <v>2030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1901</v>
      </c>
      <c r="G1259" s="45" t="s">
        <v>1901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2041</v>
      </c>
      <c r="G1260" s="45" t="s">
        <v>2041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2086</v>
      </c>
      <c r="G1261" s="45" t="s">
        <v>2086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1687</v>
      </c>
      <c r="G1262" s="45" t="s">
        <v>1687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1640</v>
      </c>
      <c r="G1263" s="45" t="s">
        <v>1640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1904</v>
      </c>
      <c r="G1264" s="45" t="s">
        <v>1904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1705</v>
      </c>
      <c r="G1265" s="45" t="s">
        <v>1705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1906</v>
      </c>
      <c r="G1266" s="45" t="s">
        <v>1906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1698</v>
      </c>
      <c r="G1267" s="45" t="s">
        <v>1698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1722</v>
      </c>
      <c r="G1268" s="45" t="s">
        <v>1722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1829</v>
      </c>
      <c r="G1269" s="45" t="s">
        <v>1829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1968</v>
      </c>
      <c r="G1270" s="45" t="s">
        <v>1968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1749</v>
      </c>
      <c r="G1271" s="45" t="s">
        <v>1749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1845</v>
      </c>
      <c r="G1272" s="45" t="s">
        <v>1845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1795</v>
      </c>
      <c r="G1273" s="45" t="s">
        <v>1795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2103</v>
      </c>
      <c r="G1274" s="45" t="s">
        <v>2103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2002</v>
      </c>
      <c r="G1275" s="45" t="s">
        <v>2002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2047</v>
      </c>
      <c r="G1276" s="45" t="s">
        <v>2047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2518</v>
      </c>
      <c r="G1277" s="45" t="s">
        <v>2518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2105</v>
      </c>
      <c r="G1278" s="45" t="s">
        <v>2105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1841</v>
      </c>
      <c r="G1279" s="45" t="s">
        <v>1841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1806</v>
      </c>
      <c r="G1280" s="45" t="s">
        <v>1806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1653</v>
      </c>
      <c r="G1281" s="45" t="s">
        <v>1653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1744</v>
      </c>
      <c r="G1282" s="45" t="s">
        <v>1744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2082</v>
      </c>
      <c r="G1283" s="45" t="s">
        <v>2082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1709</v>
      </c>
      <c r="G1284" s="45" t="s">
        <v>1709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1950</v>
      </c>
      <c r="G1285" s="45" t="s">
        <v>1950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1636</v>
      </c>
      <c r="G1286" s="45" t="s">
        <v>1636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1776</v>
      </c>
      <c r="G1287" s="45" t="s">
        <v>1776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1879</v>
      </c>
      <c r="G1288" s="45" t="s">
        <v>1879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1884</v>
      </c>
      <c r="G1289" s="45" t="s">
        <v>1884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1807</v>
      </c>
      <c r="G1290" s="45" t="s">
        <v>1807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1849</v>
      </c>
      <c r="G1291" s="45" t="s">
        <v>1849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1793</v>
      </c>
      <c r="G1292" s="45" t="s">
        <v>1793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1912</v>
      </c>
      <c r="G1293" s="45" t="s">
        <v>1912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2110</v>
      </c>
      <c r="G1294" s="45" t="s">
        <v>2110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2519</v>
      </c>
      <c r="G1295" s="45" t="s">
        <v>2519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1792</v>
      </c>
      <c r="G1296" s="45" t="s">
        <v>1792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1878</v>
      </c>
      <c r="G1297" s="45" t="s">
        <v>1878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1830</v>
      </c>
      <c r="G1298" s="45" t="s">
        <v>1830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1718</v>
      </c>
      <c r="G1299" s="45" t="s">
        <v>1718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2085</v>
      </c>
      <c r="G1300" s="45" t="s">
        <v>2085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1913</v>
      </c>
      <c r="G1301" s="45" t="s">
        <v>1913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2063</v>
      </c>
      <c r="G1302" s="45" t="s">
        <v>2063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1836</v>
      </c>
      <c r="G1303" s="45" t="s">
        <v>1836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1999</v>
      </c>
      <c r="G1304" s="45" t="s">
        <v>1999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1757</v>
      </c>
      <c r="G1305" s="45" t="s">
        <v>1757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1716</v>
      </c>
      <c r="G1306" s="45" t="s">
        <v>1716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2456</v>
      </c>
      <c r="G1307" s="45" t="s">
        <v>2456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1853</v>
      </c>
      <c r="G1308" s="45" t="s">
        <v>1853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2092</v>
      </c>
      <c r="G1309" s="45" t="s">
        <v>2092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1678</v>
      </c>
      <c r="G1310" s="45" t="s">
        <v>1678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1682</v>
      </c>
      <c r="G1311" s="45" t="s">
        <v>1682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1680</v>
      </c>
      <c r="G1312" s="45" t="s">
        <v>1680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1748</v>
      </c>
      <c r="G1313" s="45" t="s">
        <v>1748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1862</v>
      </c>
      <c r="G1314" s="45" t="s">
        <v>1862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1736</v>
      </c>
      <c r="G1315" s="45" t="s">
        <v>1736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1883</v>
      </c>
      <c r="G1316" s="45" t="s">
        <v>1883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1805</v>
      </c>
      <c r="G1317" s="45" t="s">
        <v>1805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1872</v>
      </c>
      <c r="G1318" s="45" t="s">
        <v>1872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1763</v>
      </c>
      <c r="G1319" s="45" t="s">
        <v>1763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1770</v>
      </c>
      <c r="G1320" s="45" t="s">
        <v>1770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2100</v>
      </c>
      <c r="G1321" s="45" t="s">
        <v>2100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2020</v>
      </c>
      <c r="G1322" s="45" t="s">
        <v>2020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1907</v>
      </c>
      <c r="G1323" s="45" t="s">
        <v>1907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2119</v>
      </c>
      <c r="G1324" s="45" t="s">
        <v>2119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1972</v>
      </c>
      <c r="G1325" s="45" t="s">
        <v>1972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1988</v>
      </c>
      <c r="G1326" s="45" t="s">
        <v>1988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1997</v>
      </c>
      <c r="G1327" s="45" t="s">
        <v>1997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1987</v>
      </c>
      <c r="G1328" s="45" t="s">
        <v>1987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1996</v>
      </c>
      <c r="G1329" s="45" t="s">
        <v>1996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1993</v>
      </c>
      <c r="G1330" s="45" t="s">
        <v>1993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1990</v>
      </c>
      <c r="G1331" s="45" t="s">
        <v>1990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1976</v>
      </c>
      <c r="G1332" s="45" t="s">
        <v>1976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1808</v>
      </c>
      <c r="G1333" s="45" t="s">
        <v>1808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1646</v>
      </c>
      <c r="G1334" s="45" t="s">
        <v>1646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1765</v>
      </c>
      <c r="G1335" s="45" t="s">
        <v>1765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1900</v>
      </c>
      <c r="G1336" s="45" t="s">
        <v>1900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1799</v>
      </c>
      <c r="G1337" s="45" t="s">
        <v>1799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1848</v>
      </c>
      <c r="G1338" s="45" t="s">
        <v>1848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1782</v>
      </c>
      <c r="G1339" s="45" t="s">
        <v>1782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2021</v>
      </c>
      <c r="G1340" s="45" t="s">
        <v>2021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1641</v>
      </c>
      <c r="G1341" s="45" t="s">
        <v>1641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1699</v>
      </c>
      <c r="G1342" s="45" t="s">
        <v>1699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2128</v>
      </c>
      <c r="G1343" s="45" t="s">
        <v>2128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1758</v>
      </c>
      <c r="G1344" s="45" t="s">
        <v>1758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1702</v>
      </c>
      <c r="G1345" s="45" t="s">
        <v>1702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2031</v>
      </c>
      <c r="G1346" s="45" t="s">
        <v>2031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1704</v>
      </c>
      <c r="G1347" s="45" t="s">
        <v>1704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1918</v>
      </c>
      <c r="G1348" s="45" t="s">
        <v>1918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1834</v>
      </c>
      <c r="G1349" s="45" t="s">
        <v>1834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2022</v>
      </c>
      <c r="G1350" s="45" t="s">
        <v>2022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2023</v>
      </c>
      <c r="G1351" s="45" t="s">
        <v>2023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1932</v>
      </c>
      <c r="G1352" s="45" t="s">
        <v>1932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1855</v>
      </c>
      <c r="G1353" s="45" t="s">
        <v>1855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2129</v>
      </c>
      <c r="G1354" s="45" t="s">
        <v>2129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1711</v>
      </c>
      <c r="G1355" s="45" t="s">
        <v>1711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2094</v>
      </c>
      <c r="G1356" s="45" t="s">
        <v>2094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1857</v>
      </c>
      <c r="G1357" s="45" t="s">
        <v>1857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1647</v>
      </c>
      <c r="G1358" s="45" t="s">
        <v>1647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1788</v>
      </c>
      <c r="G1359" s="45" t="s">
        <v>1788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1622</v>
      </c>
      <c r="G1360" s="45" t="s">
        <v>1622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2252</v>
      </c>
      <c r="G1361" s="45" t="s">
        <v>2252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1856</v>
      </c>
      <c r="G1362" s="45" t="s">
        <v>1856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1814</v>
      </c>
      <c r="G1363" s="45" t="s">
        <v>1814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1850</v>
      </c>
      <c r="G1364" s="45" t="s">
        <v>1850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1778</v>
      </c>
      <c r="G1365" s="45" t="s">
        <v>1778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1645</v>
      </c>
      <c r="G1366" s="45" t="s">
        <v>1645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1820</v>
      </c>
      <c r="G1367" s="45" t="s">
        <v>1820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1637</v>
      </c>
      <c r="G1368" s="45" t="s">
        <v>1637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2118</v>
      </c>
      <c r="G1369" s="45" t="s">
        <v>2118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1772</v>
      </c>
      <c r="G1370" s="45" t="s">
        <v>1772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1965</v>
      </c>
      <c r="G1371" s="45" t="s">
        <v>1965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1816</v>
      </c>
      <c r="G1372" s="45" t="s">
        <v>1816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1737</v>
      </c>
      <c r="G1373" s="45" t="s">
        <v>1737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1741</v>
      </c>
      <c r="G1374" s="45" t="s">
        <v>1741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2067</v>
      </c>
      <c r="G1375" s="45" t="s">
        <v>2067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1785</v>
      </c>
      <c r="G1376" s="45" t="s">
        <v>1785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2080</v>
      </c>
      <c r="G1377" s="45" t="s">
        <v>2080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2102</v>
      </c>
      <c r="G1378" s="45" t="s">
        <v>2102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1791</v>
      </c>
      <c r="G1379" s="45" t="s">
        <v>1791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1717</v>
      </c>
      <c r="G1380" s="45" t="s">
        <v>1717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1871</v>
      </c>
      <c r="G1381" s="45" t="s">
        <v>1871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1992</v>
      </c>
      <c r="G1382" s="45" t="s">
        <v>1992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2018</v>
      </c>
      <c r="G1383" s="45" t="s">
        <v>2018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1880</v>
      </c>
      <c r="G1384" s="45" t="s">
        <v>1880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1746</v>
      </c>
      <c r="G1385" s="45" t="s">
        <v>1746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1839</v>
      </c>
      <c r="G1386" s="45" t="s">
        <v>1839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1837</v>
      </c>
      <c r="G1387" s="45" t="s">
        <v>1837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1994</v>
      </c>
      <c r="G1388" s="45" t="s">
        <v>1994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1969</v>
      </c>
      <c r="G1389" s="45" t="s">
        <v>1969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2076</v>
      </c>
      <c r="G1390" s="45" t="s">
        <v>2076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2445</v>
      </c>
      <c r="G1391" s="45" t="s">
        <v>2445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2081</v>
      </c>
      <c r="G1392" s="45" t="s">
        <v>2081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1854</v>
      </c>
      <c r="G1393" s="45" t="s">
        <v>1854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2072</v>
      </c>
      <c r="G1394" s="45" t="s">
        <v>2072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1922</v>
      </c>
      <c r="G1395" s="45" t="s">
        <v>1922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1787</v>
      </c>
      <c r="G1396" s="45" t="s">
        <v>1787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1735</v>
      </c>
      <c r="G1397" s="45" t="s">
        <v>1735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1633</v>
      </c>
      <c r="G1398" s="45" t="s">
        <v>1633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1818</v>
      </c>
      <c r="G1399" s="45" t="s">
        <v>1818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2073</v>
      </c>
      <c r="G1400" s="45" t="s">
        <v>2073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2093</v>
      </c>
      <c r="G1401" s="45" t="s">
        <v>2093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2032</v>
      </c>
      <c r="G1402" s="45" t="s">
        <v>2032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1742</v>
      </c>
      <c r="G1403" s="45" t="s">
        <v>1742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2077</v>
      </c>
      <c r="G1404" s="45" t="s">
        <v>2077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1885</v>
      </c>
      <c r="G1405" s="45" t="s">
        <v>1885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1876</v>
      </c>
      <c r="G1406" s="45" t="s">
        <v>1876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1769</v>
      </c>
      <c r="G1407" s="45" t="s">
        <v>1769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1926</v>
      </c>
      <c r="G1408" s="45" t="s">
        <v>1926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2084</v>
      </c>
      <c r="G1409" s="45" t="s">
        <v>2084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1634</v>
      </c>
      <c r="G1410" s="45" t="s">
        <v>1634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1817</v>
      </c>
      <c r="G1411" s="45" t="s">
        <v>1817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1768</v>
      </c>
      <c r="G1412" s="45" t="s">
        <v>1768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1789</v>
      </c>
      <c r="G1413" s="45" t="s">
        <v>1789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2120</v>
      </c>
      <c r="G1414" s="45" t="s">
        <v>2120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1893</v>
      </c>
      <c r="G1415" s="45" t="s">
        <v>1893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2089</v>
      </c>
      <c r="G1416" s="45" t="s">
        <v>2089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1832</v>
      </c>
      <c r="G1417" s="45" t="s">
        <v>1832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1923</v>
      </c>
      <c r="G1418" s="45" t="s">
        <v>1923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1881</v>
      </c>
      <c r="G1419" s="45" t="s">
        <v>1881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1886</v>
      </c>
      <c r="G1420" s="45" t="s">
        <v>1886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1847</v>
      </c>
      <c r="G1421" s="45" t="s">
        <v>1847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1945</v>
      </c>
      <c r="G1422" s="45" t="s">
        <v>1945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2026</v>
      </c>
      <c r="G1423" s="45" t="s">
        <v>2026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1925</v>
      </c>
      <c r="G1424" s="45" t="s">
        <v>1925</v>
      </c>
      <c r="H1424" s="6"/>
    </row>
    <row r="1425" spans="1:8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1928</v>
      </c>
      <c r="G1425" s="45" t="s">
        <v>1928</v>
      </c>
      <c r="H1425" s="6"/>
    </row>
    <row r="1426" spans="1:8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1844</v>
      </c>
      <c r="G1426" s="45" t="s">
        <v>1844</v>
      </c>
      <c r="H1426" s="6"/>
    </row>
    <row r="1427" spans="1:8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1656</v>
      </c>
      <c r="G1427" s="45" t="s">
        <v>1656</v>
      </c>
      <c r="H1427" s="6"/>
    </row>
    <row r="1428" spans="1:8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1667</v>
      </c>
      <c r="G1428" s="45" t="s">
        <v>1667</v>
      </c>
      <c r="H1428" s="6"/>
    </row>
    <row r="1429" spans="1:8" customFormat="1" ht="18" customHeight="1" x14ac:dyDescent="0.3">
      <c r="A1429" s="28">
        <v>134</v>
      </c>
      <c r="B1429" s="26" t="str">
        <f>VLOOKUP(A1429,Meta.Features!$A:$G,$B$1,FALSE)</f>
        <v>SystemicTherapy</v>
      </c>
      <c r="C1429" s="26" t="str">
        <f>VLOOKUP(A1429,Meta.Features!$A:$G,$C$1,FALSE)</f>
        <v>systemische_therapie_substanzen</v>
      </c>
      <c r="D1429" s="26" t="str">
        <f>VLOOKUP(A1429,Meta.Features!$A:$G,$D$1,FALSE)</f>
        <v>Substance</v>
      </c>
      <c r="E1429" s="26" t="str">
        <f>VLOOKUP(A1429,Meta.Features!$A:$K,$E$1,FALSE)</f>
        <v>Nominal</v>
      </c>
      <c r="F1429" s="45" t="s">
        <v>1668</v>
      </c>
      <c r="G1429" s="45" t="s">
        <v>1668</v>
      </c>
      <c r="H1429" s="6"/>
    </row>
    <row r="1430" spans="1:8" customFormat="1" ht="18" customHeight="1" x14ac:dyDescent="0.3">
      <c r="A1430" s="28">
        <v>134</v>
      </c>
      <c r="B1430" s="26" t="str">
        <f>VLOOKUP(A1430,Meta.Features!$A:$G,$B$1,FALSE)</f>
        <v>SystemicTherapy</v>
      </c>
      <c r="C1430" s="26" t="str">
        <f>VLOOKUP(A1430,Meta.Features!$A:$G,$C$1,FALSE)</f>
        <v>systemische_therapie_substanzen</v>
      </c>
      <c r="D1430" s="26" t="str">
        <f>VLOOKUP(A1430,Meta.Features!$A:$G,$D$1,FALSE)</f>
        <v>Substance</v>
      </c>
      <c r="E1430" s="26" t="str">
        <f>VLOOKUP(A1430,Meta.Features!$A:$K,$E$1,FALSE)</f>
        <v>Nominal</v>
      </c>
      <c r="F1430" s="45" t="s">
        <v>1664</v>
      </c>
      <c r="G1430" s="45" t="s">
        <v>1664</v>
      </c>
      <c r="H1430" s="6"/>
    </row>
    <row r="1431" spans="1:8" customFormat="1" ht="18" customHeight="1" x14ac:dyDescent="0.3">
      <c r="A1431" s="28">
        <v>134</v>
      </c>
      <c r="B1431" s="26" t="str">
        <f>VLOOKUP(A1431,Meta.Features!$A:$G,$B$1,FALSE)</f>
        <v>SystemicTherapy</v>
      </c>
      <c r="C1431" s="26" t="str">
        <f>VLOOKUP(A1431,Meta.Features!$A:$G,$C$1,FALSE)</f>
        <v>systemische_therapie_substanzen</v>
      </c>
      <c r="D1431" s="26" t="str">
        <f>VLOOKUP(A1431,Meta.Features!$A:$G,$D$1,FALSE)</f>
        <v>Substance</v>
      </c>
      <c r="E1431" s="26" t="str">
        <f>VLOOKUP(A1431,Meta.Features!$A:$K,$E$1,FALSE)</f>
        <v>Nominal</v>
      </c>
      <c r="F1431" s="45" t="s">
        <v>1860</v>
      </c>
      <c r="G1431" s="45" t="s">
        <v>1860</v>
      </c>
      <c r="H1431" s="6"/>
    </row>
    <row r="1432" spans="1:8" customFormat="1" ht="18" customHeight="1" x14ac:dyDescent="0.3">
      <c r="A1432" s="28">
        <v>134</v>
      </c>
      <c r="B1432" s="26" t="str">
        <f>VLOOKUP(A1432,Meta.Features!$A:$G,$B$1,FALSE)</f>
        <v>SystemicTherapy</v>
      </c>
      <c r="C1432" s="26" t="str">
        <f>VLOOKUP(A1432,Meta.Features!$A:$G,$C$1,FALSE)</f>
        <v>systemische_therapie_substanzen</v>
      </c>
      <c r="D1432" s="26" t="str">
        <f>VLOOKUP(A1432,Meta.Features!$A:$G,$D$1,FALSE)</f>
        <v>Substance</v>
      </c>
      <c r="E1432" s="26" t="str">
        <f>VLOOKUP(A1432,Meta.Features!$A:$K,$E$1,FALSE)</f>
        <v>Nominal</v>
      </c>
      <c r="F1432" s="45" t="s">
        <v>1642</v>
      </c>
      <c r="G1432" s="45" t="s">
        <v>1642</v>
      </c>
      <c r="H1432" s="6"/>
    </row>
    <row r="1433" spans="1:8" customFormat="1" ht="18" customHeight="1" x14ac:dyDescent="0.3">
      <c r="A1433" s="28">
        <v>134</v>
      </c>
      <c r="B1433" s="26" t="str">
        <f>VLOOKUP(A1433,Meta.Features!$A:$G,$B$1,FALSE)</f>
        <v>SystemicTherapy</v>
      </c>
      <c r="C1433" s="26" t="str">
        <f>VLOOKUP(A1433,Meta.Features!$A:$G,$C$1,FALSE)</f>
        <v>systemische_therapie_substanzen</v>
      </c>
      <c r="D1433" s="26" t="str">
        <f>VLOOKUP(A1433,Meta.Features!$A:$G,$D$1,FALSE)</f>
        <v>Substance</v>
      </c>
      <c r="E1433" s="26" t="str">
        <f>VLOOKUP(A1433,Meta.Features!$A:$K,$E$1,FALSE)</f>
        <v>Nominal</v>
      </c>
      <c r="F1433" s="45" t="s">
        <v>1739</v>
      </c>
      <c r="G1433" s="45" t="s">
        <v>1739</v>
      </c>
      <c r="H1433" s="6"/>
    </row>
    <row r="1434" spans="1:8" customFormat="1" ht="18" customHeight="1" x14ac:dyDescent="0.3">
      <c r="A1434" s="28">
        <v>134</v>
      </c>
      <c r="B1434" s="26" t="str">
        <f>VLOOKUP(A1434,Meta.Features!$A:$G,$B$1,FALSE)</f>
        <v>SystemicTherapy</v>
      </c>
      <c r="C1434" s="26" t="str">
        <f>VLOOKUP(A1434,Meta.Features!$A:$G,$C$1,FALSE)</f>
        <v>systemische_therapie_substanzen</v>
      </c>
      <c r="D1434" s="26" t="str">
        <f>VLOOKUP(A1434,Meta.Features!$A:$G,$D$1,FALSE)</f>
        <v>Substance</v>
      </c>
      <c r="E1434" s="26" t="str">
        <f>VLOOKUP(A1434,Meta.Features!$A:$K,$E$1,FALSE)</f>
        <v>Nominal</v>
      </c>
      <c r="F1434" s="45" t="s">
        <v>1676</v>
      </c>
      <c r="G1434" s="45" t="s">
        <v>1676</v>
      </c>
      <c r="H1434" s="6"/>
    </row>
    <row r="1435" spans="1:8" customFormat="1" ht="18" customHeight="1" x14ac:dyDescent="0.3">
      <c r="A1435" s="28">
        <v>134</v>
      </c>
      <c r="B1435" s="26" t="str">
        <f>VLOOKUP(A1435,Meta.Features!$A:$G,$B$1,FALSE)</f>
        <v>SystemicTherapy</v>
      </c>
      <c r="C1435" s="26" t="str">
        <f>VLOOKUP(A1435,Meta.Features!$A:$G,$C$1,FALSE)</f>
        <v>systemische_therapie_substanzen</v>
      </c>
      <c r="D1435" s="26" t="str">
        <f>VLOOKUP(A1435,Meta.Features!$A:$G,$D$1,FALSE)</f>
        <v>Substance</v>
      </c>
      <c r="E1435" s="26" t="str">
        <f>VLOOKUP(A1435,Meta.Features!$A:$K,$E$1,FALSE)</f>
        <v>Nominal</v>
      </c>
      <c r="F1435" s="45" t="s">
        <v>1786</v>
      </c>
      <c r="G1435" s="45" t="s">
        <v>1786</v>
      </c>
      <c r="H1435" s="6"/>
    </row>
    <row r="1436" spans="1:8" customFormat="1" ht="18" customHeight="1" x14ac:dyDescent="0.3">
      <c r="A1436" s="28">
        <v>134</v>
      </c>
      <c r="B1436" s="26" t="str">
        <f>VLOOKUP(A1436,Meta.Features!$A:$G,$B$1,FALSE)</f>
        <v>SystemicTherapy</v>
      </c>
      <c r="C1436" s="26" t="str">
        <f>VLOOKUP(A1436,Meta.Features!$A:$G,$C$1,FALSE)</f>
        <v>systemische_therapie_substanzen</v>
      </c>
      <c r="D1436" s="26" t="str">
        <f>VLOOKUP(A1436,Meta.Features!$A:$G,$D$1,FALSE)</f>
        <v>Substance</v>
      </c>
      <c r="E1436" s="26" t="str">
        <f>VLOOKUP(A1436,Meta.Features!$A:$K,$E$1,FALSE)</f>
        <v>Nominal</v>
      </c>
      <c r="F1436" s="45" t="s">
        <v>2114</v>
      </c>
      <c r="G1436" s="45" t="s">
        <v>2114</v>
      </c>
      <c r="H1436" s="6"/>
    </row>
    <row r="1437" spans="1:8" customFormat="1" ht="18" customHeight="1" x14ac:dyDescent="0.3">
      <c r="A1437" s="28">
        <v>134</v>
      </c>
      <c r="B1437" s="26" t="str">
        <f>VLOOKUP(A1437,Meta.Features!$A:$G,$B$1,FALSE)</f>
        <v>SystemicTherapy</v>
      </c>
      <c r="C1437" s="26" t="str">
        <f>VLOOKUP(A1437,Meta.Features!$A:$G,$C$1,FALSE)</f>
        <v>systemische_therapie_substanzen</v>
      </c>
      <c r="D1437" s="26" t="str">
        <f>VLOOKUP(A1437,Meta.Features!$A:$G,$D$1,FALSE)</f>
        <v>Substance</v>
      </c>
      <c r="E1437" s="26" t="str">
        <f>VLOOKUP(A1437,Meta.Features!$A:$K,$E$1,FALSE)</f>
        <v>Nominal</v>
      </c>
      <c r="F1437" s="45" t="s">
        <v>2124</v>
      </c>
      <c r="G1437" s="45" t="s">
        <v>2124</v>
      </c>
      <c r="H1437" s="6"/>
    </row>
    <row r="1438" spans="1:8" customFormat="1" ht="18" customHeight="1" x14ac:dyDescent="0.3">
      <c r="A1438" s="28">
        <v>134</v>
      </c>
      <c r="B1438" s="26" t="str">
        <f>VLOOKUP(A1438,Meta.Features!$A:$G,$B$1,FALSE)</f>
        <v>SystemicTherapy</v>
      </c>
      <c r="C1438" s="26" t="str">
        <f>VLOOKUP(A1438,Meta.Features!$A:$G,$C$1,FALSE)</f>
        <v>systemische_therapie_substanzen</v>
      </c>
      <c r="D1438" s="26" t="str">
        <f>VLOOKUP(A1438,Meta.Features!$A:$G,$D$1,FALSE)</f>
        <v>Substance</v>
      </c>
      <c r="E1438" s="26" t="str">
        <f>VLOOKUP(A1438,Meta.Features!$A:$K,$E$1,FALSE)</f>
        <v>Nominal</v>
      </c>
      <c r="F1438" s="45" t="s">
        <v>1961</v>
      </c>
      <c r="G1438" s="45" t="s">
        <v>1961</v>
      </c>
      <c r="H1438" s="6"/>
    </row>
    <row r="1439" spans="1:8" customFormat="1" ht="18" customHeight="1" x14ac:dyDescent="0.3">
      <c r="A1439" s="28">
        <v>134</v>
      </c>
      <c r="B1439" s="26" t="str">
        <f>VLOOKUP(A1439,Meta.Features!$A:$G,$B$1,FALSE)</f>
        <v>SystemicTherapy</v>
      </c>
      <c r="C1439" s="26" t="str">
        <f>VLOOKUP(A1439,Meta.Features!$A:$G,$C$1,FALSE)</f>
        <v>systemische_therapie_substanzen</v>
      </c>
      <c r="D1439" s="26" t="str">
        <f>VLOOKUP(A1439,Meta.Features!$A:$G,$D$1,FALSE)</f>
        <v>Substance</v>
      </c>
      <c r="E1439" s="26" t="str">
        <f>VLOOKUP(A1439,Meta.Features!$A:$K,$E$1,FALSE)</f>
        <v>Nominal</v>
      </c>
      <c r="F1439" s="45" t="s">
        <v>2126</v>
      </c>
      <c r="G1439" s="45" t="s">
        <v>2126</v>
      </c>
      <c r="H1439" s="6"/>
    </row>
    <row r="1440" spans="1:8" customFormat="1" ht="18" customHeight="1" x14ac:dyDescent="0.3">
      <c r="A1440" s="28">
        <v>134</v>
      </c>
      <c r="B1440" s="26" t="str">
        <f>VLOOKUP(A1440,Meta.Features!$A:$G,$B$1,FALSE)</f>
        <v>SystemicTherapy</v>
      </c>
      <c r="C1440" s="26" t="str">
        <f>VLOOKUP(A1440,Meta.Features!$A:$G,$C$1,FALSE)</f>
        <v>systemische_therapie_substanzen</v>
      </c>
      <c r="D1440" s="26" t="str">
        <f>VLOOKUP(A1440,Meta.Features!$A:$G,$D$1,FALSE)</f>
        <v>Substance</v>
      </c>
      <c r="E1440" s="26" t="str">
        <f>VLOOKUP(A1440,Meta.Features!$A:$K,$E$1,FALSE)</f>
        <v>Nominal</v>
      </c>
      <c r="F1440" s="45" t="s">
        <v>1628</v>
      </c>
      <c r="G1440" s="45" t="s">
        <v>1628</v>
      </c>
      <c r="H1440" s="6"/>
    </row>
    <row r="1441" spans="1:8" customFormat="1" ht="18" customHeight="1" x14ac:dyDescent="0.3">
      <c r="A1441" s="28">
        <v>134</v>
      </c>
      <c r="B1441" s="26" t="str">
        <f>VLOOKUP(A1441,Meta.Features!$A:$G,$B$1,FALSE)</f>
        <v>SystemicTherapy</v>
      </c>
      <c r="C1441" s="26" t="str">
        <f>VLOOKUP(A1441,Meta.Features!$A:$G,$C$1,FALSE)</f>
        <v>systemische_therapie_substanzen</v>
      </c>
      <c r="D1441" s="26" t="str">
        <f>VLOOKUP(A1441,Meta.Features!$A:$G,$D$1,FALSE)</f>
        <v>Substance</v>
      </c>
      <c r="E1441" s="26" t="str">
        <f>VLOOKUP(A1441,Meta.Features!$A:$K,$E$1,FALSE)</f>
        <v>Nominal</v>
      </c>
      <c r="F1441" s="45" t="s">
        <v>2024</v>
      </c>
      <c r="G1441" s="45" t="s">
        <v>2024</v>
      </c>
      <c r="H1441" s="6"/>
    </row>
    <row r="1442" spans="1:8" customFormat="1" ht="18" customHeight="1" x14ac:dyDescent="0.3">
      <c r="A1442" s="28">
        <v>134</v>
      </c>
      <c r="B1442" s="26" t="str">
        <f>VLOOKUP(A1442,Meta.Features!$A:$G,$B$1,FALSE)</f>
        <v>SystemicTherapy</v>
      </c>
      <c r="C1442" s="26" t="str">
        <f>VLOOKUP(A1442,Meta.Features!$A:$G,$C$1,FALSE)</f>
        <v>systemische_therapie_substanzen</v>
      </c>
      <c r="D1442" s="26" t="str">
        <f>VLOOKUP(A1442,Meta.Features!$A:$G,$D$1,FALSE)</f>
        <v>Substance</v>
      </c>
      <c r="E1442" s="26" t="str">
        <f>VLOOKUP(A1442,Meta.Features!$A:$K,$E$1,FALSE)</f>
        <v>Nominal</v>
      </c>
      <c r="F1442" s="45" t="s">
        <v>2040</v>
      </c>
      <c r="G1442" s="45" t="s">
        <v>2040</v>
      </c>
      <c r="H1442" s="6"/>
    </row>
    <row r="1443" spans="1:8" customFormat="1" ht="18" customHeight="1" x14ac:dyDescent="0.3">
      <c r="A1443" s="28">
        <v>134</v>
      </c>
      <c r="B1443" s="26" t="str">
        <f>VLOOKUP(A1443,Meta.Features!$A:$G,$B$1,FALSE)</f>
        <v>SystemicTherapy</v>
      </c>
      <c r="C1443" s="26" t="str">
        <f>VLOOKUP(A1443,Meta.Features!$A:$G,$C$1,FALSE)</f>
        <v>systemische_therapie_substanzen</v>
      </c>
      <c r="D1443" s="26" t="str">
        <f>VLOOKUP(A1443,Meta.Features!$A:$G,$D$1,FALSE)</f>
        <v>Substance</v>
      </c>
      <c r="E1443" s="26" t="str">
        <f>VLOOKUP(A1443,Meta.Features!$A:$K,$E$1,FALSE)</f>
        <v>Nominal</v>
      </c>
      <c r="F1443" s="45" t="s">
        <v>1905</v>
      </c>
      <c r="G1443" s="45" t="s">
        <v>1905</v>
      </c>
      <c r="H1443" s="6"/>
    </row>
    <row r="1444" spans="1:8" customFormat="1" ht="18" customHeight="1" x14ac:dyDescent="0.3">
      <c r="A1444" s="28">
        <v>134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systemische_therapie_substanzen</v>
      </c>
      <c r="D1444" s="26" t="str">
        <f>VLOOKUP(A1444,Meta.Features!$A:$G,$D$1,FALSE)</f>
        <v>Substance</v>
      </c>
      <c r="E1444" s="26" t="str">
        <f>VLOOKUP(A1444,Meta.Features!$A:$K,$E$1,FALSE)</f>
        <v>Nominal</v>
      </c>
      <c r="F1444" s="45" t="s">
        <v>2079</v>
      </c>
      <c r="G1444" s="45" t="s">
        <v>2079</v>
      </c>
      <c r="H1444" s="6"/>
    </row>
    <row r="1445" spans="1:8" customFormat="1" ht="18" customHeight="1" x14ac:dyDescent="0.3">
      <c r="A1445" s="28">
        <v>134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systemische_therapie_substanzen</v>
      </c>
      <c r="D1445" s="26" t="str">
        <f>VLOOKUP(A1445,Meta.Features!$A:$G,$D$1,FALSE)</f>
        <v>Substance</v>
      </c>
      <c r="E1445" s="26" t="str">
        <f>VLOOKUP(A1445,Meta.Features!$A:$K,$E$1,FALSE)</f>
        <v>Nominal</v>
      </c>
      <c r="F1445" s="45" t="s">
        <v>1649</v>
      </c>
      <c r="G1445" s="45" t="s">
        <v>1649</v>
      </c>
      <c r="H1445" s="6"/>
    </row>
    <row r="1446" spans="1:8" customFormat="1" ht="18" customHeight="1" x14ac:dyDescent="0.3">
      <c r="A1446" s="28">
        <v>134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systemische_therapie_substanzen</v>
      </c>
      <c r="D1446" s="26" t="str">
        <f>VLOOKUP(A1446,Meta.Features!$A:$G,$D$1,FALSE)</f>
        <v>Substance</v>
      </c>
      <c r="E1446" s="26" t="str">
        <f>VLOOKUP(A1446,Meta.Features!$A:$K,$E$1,FALSE)</f>
        <v>Nominal</v>
      </c>
      <c r="F1446" s="45" t="s">
        <v>2450</v>
      </c>
      <c r="G1446" s="45" t="s">
        <v>2450</v>
      </c>
      <c r="H1446" s="6"/>
    </row>
    <row r="1447" spans="1:8" customFormat="1" ht="18" customHeight="1" x14ac:dyDescent="0.3">
      <c r="A1447" s="28">
        <v>134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systemische_therapie_substanzen</v>
      </c>
      <c r="D1447" s="26" t="str">
        <f>VLOOKUP(A1447,Meta.Features!$A:$G,$D$1,FALSE)</f>
        <v>Substance</v>
      </c>
      <c r="E1447" s="26" t="str">
        <f>VLOOKUP(A1447,Meta.Features!$A:$K,$E$1,FALSE)</f>
        <v>Nominal</v>
      </c>
      <c r="F1447" s="45" t="s">
        <v>1888</v>
      </c>
      <c r="G1447" s="45" t="s">
        <v>1888</v>
      </c>
      <c r="H1447" s="6"/>
    </row>
    <row r="1448" spans="1:8" customFormat="1" ht="18" customHeight="1" x14ac:dyDescent="0.3">
      <c r="A1448" s="28">
        <v>134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systemische_therapie_substanzen</v>
      </c>
      <c r="D1448" s="26" t="str">
        <f>VLOOKUP(A1448,Meta.Features!$A:$G,$D$1,FALSE)</f>
        <v>Substance</v>
      </c>
      <c r="E1448" s="26" t="str">
        <f>VLOOKUP(A1448,Meta.Features!$A:$K,$E$1,FALSE)</f>
        <v>Nominal</v>
      </c>
      <c r="F1448" s="45" t="s">
        <v>1815</v>
      </c>
      <c r="G1448" s="45" t="s">
        <v>1815</v>
      </c>
      <c r="H1448" s="6"/>
    </row>
    <row r="1449" spans="1:8" customFormat="1" ht="18" customHeight="1" x14ac:dyDescent="0.3">
      <c r="A1449" s="28">
        <v>134</v>
      </c>
      <c r="B1449" s="26" t="str">
        <f>VLOOKUP(A1449,Meta.Features!$A:$G,$B$1,FALSE)</f>
        <v>SystemicTherapy</v>
      </c>
      <c r="C1449" s="26" t="str">
        <f>VLOOKUP(A1449,Meta.Features!$A:$G,$C$1,FALSE)</f>
        <v>systemische_therapie_substanzen</v>
      </c>
      <c r="D1449" s="26" t="str">
        <f>VLOOKUP(A1449,Meta.Features!$A:$G,$D$1,FALSE)</f>
        <v>Substance</v>
      </c>
      <c r="E1449" s="26" t="str">
        <f>VLOOKUP(A1449,Meta.Features!$A:$K,$E$1,FALSE)</f>
        <v>Nominal</v>
      </c>
      <c r="F1449" s="45" t="s">
        <v>1843</v>
      </c>
      <c r="G1449" s="45" t="s">
        <v>1843</v>
      </c>
      <c r="H1449" s="6"/>
    </row>
    <row r="1450" spans="1:8" customFormat="1" ht="18" customHeight="1" x14ac:dyDescent="0.3">
      <c r="A1450" s="28">
        <v>134</v>
      </c>
      <c r="B1450" s="26" t="str">
        <f>VLOOKUP(A1450,Meta.Features!$A:$G,$B$1,FALSE)</f>
        <v>SystemicTherapy</v>
      </c>
      <c r="C1450" s="26" t="str">
        <f>VLOOKUP(A1450,Meta.Features!$A:$G,$C$1,FALSE)</f>
        <v>systemische_therapie_substanzen</v>
      </c>
      <c r="D1450" s="26" t="str">
        <f>VLOOKUP(A1450,Meta.Features!$A:$G,$D$1,FALSE)</f>
        <v>Substance</v>
      </c>
      <c r="E1450" s="26" t="str">
        <f>VLOOKUP(A1450,Meta.Features!$A:$K,$E$1,FALSE)</f>
        <v>Nominal</v>
      </c>
      <c r="F1450" s="45" t="s">
        <v>1752</v>
      </c>
      <c r="G1450" s="45" t="s">
        <v>1752</v>
      </c>
      <c r="H1450" s="6"/>
    </row>
    <row r="1451" spans="1:8" customFormat="1" ht="18" customHeight="1" x14ac:dyDescent="0.3">
      <c r="A1451" s="28">
        <v>134</v>
      </c>
      <c r="B1451" s="26" t="str">
        <f>VLOOKUP(A1451,Meta.Features!$A:$G,$B$1,FALSE)</f>
        <v>SystemicTherapy</v>
      </c>
      <c r="C1451" s="26" t="str">
        <f>VLOOKUP(A1451,Meta.Features!$A:$G,$C$1,FALSE)</f>
        <v>systemische_therapie_substanzen</v>
      </c>
      <c r="D1451" s="26" t="str">
        <f>VLOOKUP(A1451,Meta.Features!$A:$G,$D$1,FALSE)</f>
        <v>Substance</v>
      </c>
      <c r="E1451" s="26" t="str">
        <f>VLOOKUP(A1451,Meta.Features!$A:$K,$E$1,FALSE)</f>
        <v>Nominal</v>
      </c>
      <c r="F1451" s="45" t="s">
        <v>2069</v>
      </c>
      <c r="G1451" s="45" t="s">
        <v>2069</v>
      </c>
      <c r="H1451" s="6"/>
    </row>
    <row r="1452" spans="1:8" customFormat="1" ht="18" customHeight="1" x14ac:dyDescent="0.3">
      <c r="A1452" s="28">
        <v>134</v>
      </c>
      <c r="B1452" s="26" t="str">
        <f>VLOOKUP(A1452,Meta.Features!$A:$G,$B$1,FALSE)</f>
        <v>SystemicTherapy</v>
      </c>
      <c r="C1452" s="26" t="str">
        <f>VLOOKUP(A1452,Meta.Features!$A:$G,$C$1,FALSE)</f>
        <v>systemische_therapie_substanzen</v>
      </c>
      <c r="D1452" s="26" t="str">
        <f>VLOOKUP(A1452,Meta.Features!$A:$G,$D$1,FALSE)</f>
        <v>Substance</v>
      </c>
      <c r="E1452" s="26" t="str">
        <f>VLOOKUP(A1452,Meta.Features!$A:$K,$E$1,FALSE)</f>
        <v>Nominal</v>
      </c>
      <c r="F1452" s="45" t="s">
        <v>2095</v>
      </c>
      <c r="G1452" s="45" t="s">
        <v>2095</v>
      </c>
      <c r="H1452" s="6"/>
    </row>
    <row r="1453" spans="1:8" customFormat="1" ht="18" customHeight="1" x14ac:dyDescent="0.3">
      <c r="A1453" s="28">
        <v>134</v>
      </c>
      <c r="B1453" s="26" t="str">
        <f>VLOOKUP(A1453,Meta.Features!$A:$G,$B$1,FALSE)</f>
        <v>SystemicTherapy</v>
      </c>
      <c r="C1453" s="26" t="str">
        <f>VLOOKUP(A1453,Meta.Features!$A:$G,$C$1,FALSE)</f>
        <v>systemische_therapie_substanzen</v>
      </c>
      <c r="D1453" s="26" t="str">
        <f>VLOOKUP(A1453,Meta.Features!$A:$G,$D$1,FALSE)</f>
        <v>Substance</v>
      </c>
      <c r="E1453" s="26" t="str">
        <f>VLOOKUP(A1453,Meta.Features!$A:$K,$E$1,FALSE)</f>
        <v>Nominal</v>
      </c>
      <c r="F1453" s="45" t="s">
        <v>1683</v>
      </c>
      <c r="G1453" s="45" t="s">
        <v>1683</v>
      </c>
      <c r="H1453" s="6"/>
    </row>
    <row r="1454" spans="1:8" customFormat="1" ht="18" customHeight="1" x14ac:dyDescent="0.3">
      <c r="A1454" s="28">
        <v>134</v>
      </c>
      <c r="B1454" s="26" t="str">
        <f>VLOOKUP(A1454,Meta.Features!$A:$G,$B$1,FALSE)</f>
        <v>SystemicTherapy</v>
      </c>
      <c r="C1454" s="26" t="str">
        <f>VLOOKUP(A1454,Meta.Features!$A:$G,$C$1,FALSE)</f>
        <v>systemische_therapie_substanzen</v>
      </c>
      <c r="D1454" s="26" t="str">
        <f>VLOOKUP(A1454,Meta.Features!$A:$G,$D$1,FALSE)</f>
        <v>Substance</v>
      </c>
      <c r="E1454" s="26" t="str">
        <f>VLOOKUP(A1454,Meta.Features!$A:$K,$E$1,FALSE)</f>
        <v>Nominal</v>
      </c>
      <c r="F1454" s="45" t="s">
        <v>1946</v>
      </c>
      <c r="G1454" s="45" t="s">
        <v>1946</v>
      </c>
      <c r="H1454" s="6"/>
    </row>
    <row r="1455" spans="1:8" customFormat="1" ht="18" customHeight="1" x14ac:dyDescent="0.3">
      <c r="A1455" s="28">
        <v>134</v>
      </c>
      <c r="B1455" s="26" t="str">
        <f>VLOOKUP(A1455,Meta.Features!$A:$G,$B$1,FALSE)</f>
        <v>SystemicTherapy</v>
      </c>
      <c r="C1455" s="26" t="str">
        <f>VLOOKUP(A1455,Meta.Features!$A:$G,$C$1,FALSE)</f>
        <v>systemische_therapie_substanzen</v>
      </c>
      <c r="D1455" s="26" t="str">
        <f>VLOOKUP(A1455,Meta.Features!$A:$G,$D$1,FALSE)</f>
        <v>Substance</v>
      </c>
      <c r="E1455" s="26" t="str">
        <f>VLOOKUP(A1455,Meta.Features!$A:$K,$E$1,FALSE)</f>
        <v>Nominal</v>
      </c>
      <c r="F1455" s="45" t="s">
        <v>1690</v>
      </c>
      <c r="G1455" s="45" t="s">
        <v>1690</v>
      </c>
      <c r="H1455" s="6"/>
    </row>
    <row r="1456" spans="1:8" customFormat="1" ht="18" customHeight="1" x14ac:dyDescent="0.3">
      <c r="A1456" s="28">
        <v>134</v>
      </c>
      <c r="B1456" s="26" t="str">
        <f>VLOOKUP(A1456,Meta.Features!$A:$G,$B$1,FALSE)</f>
        <v>SystemicTherapy</v>
      </c>
      <c r="C1456" s="26" t="str">
        <f>VLOOKUP(A1456,Meta.Features!$A:$G,$C$1,FALSE)</f>
        <v>systemische_therapie_substanzen</v>
      </c>
      <c r="D1456" s="26" t="str">
        <f>VLOOKUP(A1456,Meta.Features!$A:$G,$D$1,FALSE)</f>
        <v>Substance</v>
      </c>
      <c r="E1456" s="26" t="str">
        <f>VLOOKUP(A1456,Meta.Features!$A:$K,$E$1,FALSE)</f>
        <v>Nominal</v>
      </c>
      <c r="F1456" s="45" t="s">
        <v>1732</v>
      </c>
      <c r="G1456" s="45" t="s">
        <v>1732</v>
      </c>
      <c r="H1456" s="6"/>
    </row>
    <row r="1457" spans="1:8" customFormat="1" ht="18" customHeight="1" x14ac:dyDescent="0.3">
      <c r="A1457" s="28">
        <v>134</v>
      </c>
      <c r="B1457" s="26" t="str">
        <f>VLOOKUP(A1457,Meta.Features!$A:$G,$B$1,FALSE)</f>
        <v>SystemicTherapy</v>
      </c>
      <c r="C1457" s="26" t="str">
        <f>VLOOKUP(A1457,Meta.Features!$A:$G,$C$1,FALSE)</f>
        <v>systemische_therapie_substanzen</v>
      </c>
      <c r="D1457" s="26" t="str">
        <f>VLOOKUP(A1457,Meta.Features!$A:$G,$D$1,FALSE)</f>
        <v>Substance</v>
      </c>
      <c r="E1457" s="26" t="str">
        <f>VLOOKUP(A1457,Meta.Features!$A:$K,$E$1,FALSE)</f>
        <v>Nominal</v>
      </c>
      <c r="F1457" s="45" t="s">
        <v>1798</v>
      </c>
      <c r="G1457" s="45" t="s">
        <v>1798</v>
      </c>
      <c r="H1457" s="6"/>
    </row>
    <row r="1458" spans="1:8" customFormat="1" ht="18" customHeight="1" x14ac:dyDescent="0.3">
      <c r="A1458" s="28">
        <v>134</v>
      </c>
      <c r="B1458" s="26" t="str">
        <f>VLOOKUP(A1458,Meta.Features!$A:$G,$B$1,FALSE)</f>
        <v>SystemicTherapy</v>
      </c>
      <c r="C1458" s="26" t="str">
        <f>VLOOKUP(A1458,Meta.Features!$A:$G,$C$1,FALSE)</f>
        <v>systemische_therapie_substanzen</v>
      </c>
      <c r="D1458" s="26" t="str">
        <f>VLOOKUP(A1458,Meta.Features!$A:$G,$D$1,FALSE)</f>
        <v>Substance</v>
      </c>
      <c r="E1458" s="26" t="str">
        <f>VLOOKUP(A1458,Meta.Features!$A:$K,$E$1,FALSE)</f>
        <v>Nominal</v>
      </c>
      <c r="F1458" s="45" t="s">
        <v>1801</v>
      </c>
      <c r="G1458" s="45" t="s">
        <v>1801</v>
      </c>
      <c r="H1458" s="6"/>
    </row>
    <row r="1459" spans="1:8" customFormat="1" ht="18" customHeight="1" x14ac:dyDescent="0.3">
      <c r="A1459" s="28">
        <v>134</v>
      </c>
      <c r="B1459" s="26" t="str">
        <f>VLOOKUP(A1459,Meta.Features!$A:$G,$B$1,FALSE)</f>
        <v>SystemicTherapy</v>
      </c>
      <c r="C1459" s="26" t="str">
        <f>VLOOKUP(A1459,Meta.Features!$A:$G,$C$1,FALSE)</f>
        <v>systemische_therapie_substanzen</v>
      </c>
      <c r="D1459" s="26" t="str">
        <f>VLOOKUP(A1459,Meta.Features!$A:$G,$D$1,FALSE)</f>
        <v>Substance</v>
      </c>
      <c r="E1459" s="26" t="str">
        <f>VLOOKUP(A1459,Meta.Features!$A:$K,$E$1,FALSE)</f>
        <v>Nominal</v>
      </c>
      <c r="F1459" s="45" t="s">
        <v>1802</v>
      </c>
      <c r="G1459" s="45" t="s">
        <v>1802</v>
      </c>
      <c r="H1459" s="6"/>
    </row>
    <row r="1460" spans="1:8" customFormat="1" ht="18" customHeight="1" x14ac:dyDescent="0.3">
      <c r="A1460" s="28">
        <v>134</v>
      </c>
      <c r="B1460" s="26" t="str">
        <f>VLOOKUP(A1460,Meta.Features!$A:$G,$B$1,FALSE)</f>
        <v>SystemicTherapy</v>
      </c>
      <c r="C1460" s="26" t="str">
        <f>VLOOKUP(A1460,Meta.Features!$A:$G,$C$1,FALSE)</f>
        <v>systemische_therapie_substanzen</v>
      </c>
      <c r="D1460" s="26" t="str">
        <f>VLOOKUP(A1460,Meta.Features!$A:$G,$D$1,FALSE)</f>
        <v>Substance</v>
      </c>
      <c r="E1460" s="26" t="str">
        <f>VLOOKUP(A1460,Meta.Features!$A:$K,$E$1,FALSE)</f>
        <v>Nominal</v>
      </c>
      <c r="F1460" s="45" t="s">
        <v>1800</v>
      </c>
      <c r="G1460" s="45" t="s">
        <v>1800</v>
      </c>
      <c r="H1460" s="6"/>
    </row>
    <row r="1461" spans="1:8" customFormat="1" ht="18" customHeight="1" x14ac:dyDescent="0.3">
      <c r="A1461" s="28">
        <v>134</v>
      </c>
      <c r="B1461" s="26" t="str">
        <f>VLOOKUP(A1461,Meta.Features!$A:$G,$B$1,FALSE)</f>
        <v>SystemicTherapy</v>
      </c>
      <c r="C1461" s="26" t="str">
        <f>VLOOKUP(A1461,Meta.Features!$A:$G,$C$1,FALSE)</f>
        <v>systemische_therapie_substanzen</v>
      </c>
      <c r="D1461" s="26" t="str">
        <f>VLOOKUP(A1461,Meta.Features!$A:$G,$D$1,FALSE)</f>
        <v>Substance</v>
      </c>
      <c r="E1461" s="26" t="str">
        <f>VLOOKUP(A1461,Meta.Features!$A:$K,$E$1,FALSE)</f>
        <v>Nominal</v>
      </c>
      <c r="F1461" s="45" t="s">
        <v>1840</v>
      </c>
      <c r="G1461" s="45" t="s">
        <v>1840</v>
      </c>
      <c r="H1461" s="6"/>
    </row>
    <row r="1462" spans="1:8" customFormat="1" ht="18" customHeight="1" x14ac:dyDescent="0.3">
      <c r="A1462" s="28">
        <v>134</v>
      </c>
      <c r="B1462" s="26" t="str">
        <f>VLOOKUP(A1462,Meta.Features!$A:$G,$B$1,FALSE)</f>
        <v>SystemicTherapy</v>
      </c>
      <c r="C1462" s="26" t="str">
        <f>VLOOKUP(A1462,Meta.Features!$A:$G,$C$1,FALSE)</f>
        <v>systemische_therapie_substanzen</v>
      </c>
      <c r="D1462" s="26" t="str">
        <f>VLOOKUP(A1462,Meta.Features!$A:$G,$D$1,FALSE)</f>
        <v>Substance</v>
      </c>
      <c r="E1462" s="26" t="str">
        <f>VLOOKUP(A1462,Meta.Features!$A:$K,$E$1,FALSE)</f>
        <v>Nominal</v>
      </c>
      <c r="F1462" s="45" t="s">
        <v>1626</v>
      </c>
      <c r="G1462" s="45" t="s">
        <v>1626</v>
      </c>
      <c r="H1462" s="6"/>
    </row>
    <row r="1463" spans="1:8" customFormat="1" ht="18" customHeight="1" x14ac:dyDescent="0.3">
      <c r="A1463" s="28">
        <v>134</v>
      </c>
      <c r="B1463" s="26" t="str">
        <f>VLOOKUP(A1463,Meta.Features!$A:$G,$B$1,FALSE)</f>
        <v>SystemicTherapy</v>
      </c>
      <c r="C1463" s="26" t="str">
        <f>VLOOKUP(A1463,Meta.Features!$A:$G,$C$1,FALSE)</f>
        <v>systemische_therapie_substanzen</v>
      </c>
      <c r="D1463" s="26" t="str">
        <f>VLOOKUP(A1463,Meta.Features!$A:$G,$D$1,FALSE)</f>
        <v>Substance</v>
      </c>
      <c r="E1463" s="26" t="str">
        <f>VLOOKUP(A1463,Meta.Features!$A:$K,$E$1,FALSE)</f>
        <v>Nominal</v>
      </c>
      <c r="F1463" s="45" t="s">
        <v>1864</v>
      </c>
      <c r="G1463" s="45" t="s">
        <v>1864</v>
      </c>
      <c r="H1463" s="6"/>
    </row>
    <row r="1464" spans="1:8" customFormat="1" ht="18" customHeight="1" x14ac:dyDescent="0.3">
      <c r="A1464" s="28">
        <v>134</v>
      </c>
      <c r="B1464" s="26" t="str">
        <f>VLOOKUP(A1464,Meta.Features!$A:$G,$B$1,FALSE)</f>
        <v>SystemicTherapy</v>
      </c>
      <c r="C1464" s="26" t="str">
        <f>VLOOKUP(A1464,Meta.Features!$A:$G,$C$1,FALSE)</f>
        <v>systemische_therapie_substanzen</v>
      </c>
      <c r="D1464" s="26" t="str">
        <f>VLOOKUP(A1464,Meta.Features!$A:$G,$D$1,FALSE)</f>
        <v>Substance</v>
      </c>
      <c r="E1464" s="26" t="str">
        <f>VLOOKUP(A1464,Meta.Features!$A:$K,$E$1,FALSE)</f>
        <v>Nominal</v>
      </c>
      <c r="F1464" s="45" t="s">
        <v>1629</v>
      </c>
      <c r="G1464" s="45" t="s">
        <v>1629</v>
      </c>
      <c r="H1464" s="6"/>
    </row>
    <row r="1465" spans="1:8" customFormat="1" ht="18" customHeight="1" x14ac:dyDescent="0.3">
      <c r="A1465" s="28">
        <v>134</v>
      </c>
      <c r="B1465" s="26" t="str">
        <f>VLOOKUP(A1465,Meta.Features!$A:$G,$B$1,FALSE)</f>
        <v>SystemicTherapy</v>
      </c>
      <c r="C1465" s="26" t="str">
        <f>VLOOKUP(A1465,Meta.Features!$A:$G,$C$1,FALSE)</f>
        <v>systemische_therapie_substanzen</v>
      </c>
      <c r="D1465" s="26" t="str">
        <f>VLOOKUP(A1465,Meta.Features!$A:$G,$D$1,FALSE)</f>
        <v>Substance</v>
      </c>
      <c r="E1465" s="26" t="str">
        <f>VLOOKUP(A1465,Meta.Features!$A:$K,$E$1,FALSE)</f>
        <v>Nominal</v>
      </c>
      <c r="F1465" s="45" t="s">
        <v>1666</v>
      </c>
      <c r="G1465" s="45" t="s">
        <v>1666</v>
      </c>
      <c r="H1465" s="6"/>
    </row>
    <row r="1466" spans="1:8" customFormat="1" ht="18" customHeight="1" x14ac:dyDescent="0.3">
      <c r="A1466" s="28">
        <v>134</v>
      </c>
      <c r="B1466" s="26" t="str">
        <f>VLOOKUP(A1466,Meta.Features!$A:$G,$B$1,FALSE)</f>
        <v>SystemicTherapy</v>
      </c>
      <c r="C1466" s="26" t="str">
        <f>VLOOKUP(A1466,Meta.Features!$A:$G,$C$1,FALSE)</f>
        <v>systemische_therapie_substanzen</v>
      </c>
      <c r="D1466" s="26" t="str">
        <f>VLOOKUP(A1466,Meta.Features!$A:$G,$D$1,FALSE)</f>
        <v>Substance</v>
      </c>
      <c r="E1466" s="26" t="str">
        <f>VLOOKUP(A1466,Meta.Features!$A:$K,$E$1,FALSE)</f>
        <v>Nominal</v>
      </c>
      <c r="F1466" s="45" t="s">
        <v>2523</v>
      </c>
      <c r="G1466" s="45" t="s">
        <v>2523</v>
      </c>
      <c r="H1466" s="6"/>
    </row>
    <row r="1467" spans="1:8" customFormat="1" ht="18" customHeight="1" x14ac:dyDescent="0.3">
      <c r="A1467" s="28">
        <v>134</v>
      </c>
      <c r="B1467" s="26" t="str">
        <f>VLOOKUP(A1467,Meta.Features!$A:$G,$B$1,FALSE)</f>
        <v>SystemicTherapy</v>
      </c>
      <c r="C1467" s="26" t="str">
        <f>VLOOKUP(A1467,Meta.Features!$A:$G,$C$1,FALSE)</f>
        <v>systemische_therapie_substanzen</v>
      </c>
      <c r="D1467" s="26" t="str">
        <f>VLOOKUP(A1467,Meta.Features!$A:$G,$D$1,FALSE)</f>
        <v>Substance</v>
      </c>
      <c r="E1467" s="26" t="str">
        <f>VLOOKUP(A1467,Meta.Features!$A:$K,$E$1,FALSE)</f>
        <v>Nominal</v>
      </c>
      <c r="F1467" s="45" t="s">
        <v>1942</v>
      </c>
      <c r="G1467" s="45" t="s">
        <v>1942</v>
      </c>
      <c r="H1467" s="6"/>
    </row>
    <row r="1468" spans="1:8" customFormat="1" ht="18" customHeight="1" x14ac:dyDescent="0.3">
      <c r="A1468" s="28">
        <v>134</v>
      </c>
      <c r="B1468" s="26" t="str">
        <f>VLOOKUP(A1468,Meta.Features!$A:$G,$B$1,FALSE)</f>
        <v>SystemicTherapy</v>
      </c>
      <c r="C1468" s="26" t="str">
        <f>VLOOKUP(A1468,Meta.Features!$A:$G,$C$1,FALSE)</f>
        <v>systemische_therapie_substanzen</v>
      </c>
      <c r="D1468" s="26" t="str">
        <f>VLOOKUP(A1468,Meta.Features!$A:$G,$D$1,FALSE)</f>
        <v>Substance</v>
      </c>
      <c r="E1468" s="26" t="str">
        <f>VLOOKUP(A1468,Meta.Features!$A:$K,$E$1,FALSE)</f>
        <v>Nominal</v>
      </c>
      <c r="F1468" s="45" t="s">
        <v>1621</v>
      </c>
      <c r="G1468" s="45" t="s">
        <v>1621</v>
      </c>
      <c r="H1468" s="6"/>
    </row>
    <row r="1469" spans="1:8" customFormat="1" ht="18" customHeight="1" x14ac:dyDescent="0.3">
      <c r="A1469" s="28">
        <v>134</v>
      </c>
      <c r="B1469" s="26" t="str">
        <f>VLOOKUP(A1469,Meta.Features!$A:$G,$B$1,FALSE)</f>
        <v>SystemicTherapy</v>
      </c>
      <c r="C1469" s="26" t="str">
        <f>VLOOKUP(A1469,Meta.Features!$A:$G,$C$1,FALSE)</f>
        <v>systemische_therapie_substanzen</v>
      </c>
      <c r="D1469" s="26" t="str">
        <f>VLOOKUP(A1469,Meta.Features!$A:$G,$D$1,FALSE)</f>
        <v>Substance</v>
      </c>
      <c r="E1469" s="26" t="str">
        <f>VLOOKUP(A1469,Meta.Features!$A:$K,$E$1,FALSE)</f>
        <v>Nominal</v>
      </c>
      <c r="F1469" s="45" t="s">
        <v>1745</v>
      </c>
      <c r="G1469" s="45" t="s">
        <v>1745</v>
      </c>
      <c r="H1469" s="6"/>
    </row>
    <row r="1470" spans="1:8" customFormat="1" ht="18" customHeight="1" x14ac:dyDescent="0.3">
      <c r="A1470" s="28">
        <v>134</v>
      </c>
      <c r="B1470" s="26" t="str">
        <f>VLOOKUP(A1470,Meta.Features!$A:$G,$B$1,FALSE)</f>
        <v>SystemicTherapy</v>
      </c>
      <c r="C1470" s="26" t="str">
        <f>VLOOKUP(A1470,Meta.Features!$A:$G,$C$1,FALSE)</f>
        <v>systemische_therapie_substanzen</v>
      </c>
      <c r="D1470" s="26" t="str">
        <f>VLOOKUP(A1470,Meta.Features!$A:$G,$D$1,FALSE)</f>
        <v>Substance</v>
      </c>
      <c r="E1470" s="26" t="str">
        <f>VLOOKUP(A1470,Meta.Features!$A:$K,$E$1,FALSE)</f>
        <v>Nominal</v>
      </c>
      <c r="F1470" s="45" t="s">
        <v>2115</v>
      </c>
      <c r="G1470" s="45" t="s">
        <v>2115</v>
      </c>
      <c r="H1470" s="6"/>
    </row>
    <row r="1471" spans="1:8" customFormat="1" ht="18" customHeight="1" x14ac:dyDescent="0.3">
      <c r="A1471" s="28">
        <v>134</v>
      </c>
      <c r="B1471" s="26" t="str">
        <f>VLOOKUP(A1471,Meta.Features!$A:$G,$B$1,FALSE)</f>
        <v>SystemicTherapy</v>
      </c>
      <c r="C1471" s="26" t="str">
        <f>VLOOKUP(A1471,Meta.Features!$A:$G,$C$1,FALSE)</f>
        <v>systemische_therapie_substanzen</v>
      </c>
      <c r="D1471" s="26" t="str">
        <f>VLOOKUP(A1471,Meta.Features!$A:$G,$D$1,FALSE)</f>
        <v>Substance</v>
      </c>
      <c r="E1471" s="26" t="str">
        <f>VLOOKUP(A1471,Meta.Features!$A:$K,$E$1,FALSE)</f>
        <v>Nominal</v>
      </c>
      <c r="F1471" s="45" t="s">
        <v>1790</v>
      </c>
      <c r="G1471" s="45" t="s">
        <v>1790</v>
      </c>
      <c r="H1471" s="6"/>
    </row>
    <row r="1472" spans="1:8" customFormat="1" ht="18" customHeight="1" x14ac:dyDescent="0.3">
      <c r="A1472" s="28">
        <v>134</v>
      </c>
      <c r="B1472" s="26" t="str">
        <f>VLOOKUP(A1472,Meta.Features!$A:$G,$B$1,FALSE)</f>
        <v>SystemicTherapy</v>
      </c>
      <c r="C1472" s="26" t="str">
        <f>VLOOKUP(A1472,Meta.Features!$A:$G,$C$1,FALSE)</f>
        <v>systemische_therapie_substanzen</v>
      </c>
      <c r="D1472" s="26" t="str">
        <f>VLOOKUP(A1472,Meta.Features!$A:$G,$D$1,FALSE)</f>
        <v>Substance</v>
      </c>
      <c r="E1472" s="26" t="str">
        <f>VLOOKUP(A1472,Meta.Features!$A:$K,$E$1,FALSE)</f>
        <v>Nominal</v>
      </c>
      <c r="F1472" s="45" t="s">
        <v>2097</v>
      </c>
      <c r="G1472" s="45" t="s">
        <v>2097</v>
      </c>
      <c r="H1472" s="6"/>
    </row>
    <row r="1473" spans="1:8" customFormat="1" ht="18" customHeight="1" x14ac:dyDescent="0.3">
      <c r="A1473" s="28">
        <v>134</v>
      </c>
      <c r="B1473" s="26" t="str">
        <f>VLOOKUP(A1473,Meta.Features!$A:$G,$B$1,FALSE)</f>
        <v>SystemicTherapy</v>
      </c>
      <c r="C1473" s="26" t="str">
        <f>VLOOKUP(A1473,Meta.Features!$A:$G,$C$1,FALSE)</f>
        <v>systemische_therapie_substanzen</v>
      </c>
      <c r="D1473" s="26" t="str">
        <f>VLOOKUP(A1473,Meta.Features!$A:$G,$D$1,FALSE)</f>
        <v>Substance</v>
      </c>
      <c r="E1473" s="26" t="str">
        <f>VLOOKUP(A1473,Meta.Features!$A:$K,$E$1,FALSE)</f>
        <v>Nominal</v>
      </c>
      <c r="F1473" s="45" t="s">
        <v>1638</v>
      </c>
      <c r="G1473" s="45" t="s">
        <v>1638</v>
      </c>
      <c r="H1473" s="6"/>
    </row>
    <row r="1474" spans="1:8" customFormat="1" ht="18" customHeight="1" x14ac:dyDescent="0.3">
      <c r="A1474" s="28">
        <v>134</v>
      </c>
      <c r="B1474" s="26" t="str">
        <f>VLOOKUP(A1474,Meta.Features!$A:$G,$B$1,FALSE)</f>
        <v>SystemicTherapy</v>
      </c>
      <c r="C1474" s="26" t="str">
        <f>VLOOKUP(A1474,Meta.Features!$A:$G,$C$1,FALSE)</f>
        <v>systemische_therapie_substanzen</v>
      </c>
      <c r="D1474" s="26" t="str">
        <f>VLOOKUP(A1474,Meta.Features!$A:$G,$D$1,FALSE)</f>
        <v>Substance</v>
      </c>
      <c r="E1474" s="26" t="str">
        <f>VLOOKUP(A1474,Meta.Features!$A:$K,$E$1,FALSE)</f>
        <v>Nominal</v>
      </c>
      <c r="F1474" s="45" t="s">
        <v>2068</v>
      </c>
      <c r="G1474" s="45" t="s">
        <v>2068</v>
      </c>
      <c r="H1474" s="6"/>
    </row>
    <row r="1475" spans="1:8" customFormat="1" ht="18" customHeight="1" x14ac:dyDescent="0.3">
      <c r="A1475" s="28">
        <v>134</v>
      </c>
      <c r="B1475" s="26" t="str">
        <f>VLOOKUP(A1475,Meta.Features!$A:$G,$B$1,FALSE)</f>
        <v>SystemicTherapy</v>
      </c>
      <c r="C1475" s="26" t="str">
        <f>VLOOKUP(A1475,Meta.Features!$A:$G,$C$1,FALSE)</f>
        <v>systemische_therapie_substanzen</v>
      </c>
      <c r="D1475" s="26" t="str">
        <f>VLOOKUP(A1475,Meta.Features!$A:$G,$D$1,FALSE)</f>
        <v>Substance</v>
      </c>
      <c r="E1475" s="26" t="str">
        <f>VLOOKUP(A1475,Meta.Features!$A:$K,$E$1,FALSE)</f>
        <v>Nominal</v>
      </c>
      <c r="F1475" s="45" t="s">
        <v>1700</v>
      </c>
      <c r="G1475" s="45" t="s">
        <v>1700</v>
      </c>
      <c r="H1475" s="6"/>
    </row>
    <row r="1476" spans="1:8" customFormat="1" ht="18" customHeight="1" x14ac:dyDescent="0.3">
      <c r="A1476" s="28">
        <v>134</v>
      </c>
      <c r="B1476" s="26" t="str">
        <f>VLOOKUP(A1476,Meta.Features!$A:$G,$B$1,FALSE)</f>
        <v>SystemicTherapy</v>
      </c>
      <c r="C1476" s="26" t="str">
        <f>VLOOKUP(A1476,Meta.Features!$A:$G,$C$1,FALSE)</f>
        <v>systemische_therapie_substanzen</v>
      </c>
      <c r="D1476" s="26" t="str">
        <f>VLOOKUP(A1476,Meta.Features!$A:$G,$D$1,FALSE)</f>
        <v>Substance</v>
      </c>
      <c r="E1476" s="26" t="str">
        <f>VLOOKUP(A1476,Meta.Features!$A:$K,$E$1,FALSE)</f>
        <v>Nominal</v>
      </c>
      <c r="F1476" s="45" t="s">
        <v>1771</v>
      </c>
      <c r="G1476" s="45" t="s">
        <v>1771</v>
      </c>
      <c r="H1476" s="6"/>
    </row>
    <row r="1477" spans="1:8" customFormat="1" ht="18" customHeight="1" x14ac:dyDescent="0.3">
      <c r="A1477" s="28">
        <v>134</v>
      </c>
      <c r="B1477" s="26" t="str">
        <f>VLOOKUP(A1477,Meta.Features!$A:$G,$B$1,FALSE)</f>
        <v>SystemicTherapy</v>
      </c>
      <c r="C1477" s="26" t="str">
        <f>VLOOKUP(A1477,Meta.Features!$A:$G,$C$1,FALSE)</f>
        <v>systemische_therapie_substanzen</v>
      </c>
      <c r="D1477" s="26" t="str">
        <f>VLOOKUP(A1477,Meta.Features!$A:$G,$D$1,FALSE)</f>
        <v>Substance</v>
      </c>
      <c r="E1477" s="26" t="str">
        <f>VLOOKUP(A1477,Meta.Features!$A:$K,$E$1,FALSE)</f>
        <v>Nominal</v>
      </c>
      <c r="F1477" s="45" t="s">
        <v>2107</v>
      </c>
      <c r="G1477" s="45" t="s">
        <v>2107</v>
      </c>
      <c r="H1477" s="6"/>
    </row>
    <row r="1478" spans="1:8" customFormat="1" ht="18" customHeight="1" x14ac:dyDescent="0.3">
      <c r="A1478" s="28">
        <v>134</v>
      </c>
      <c r="B1478" s="26" t="str">
        <f>VLOOKUP(A1478,Meta.Features!$A:$G,$B$1,FALSE)</f>
        <v>SystemicTherapy</v>
      </c>
      <c r="C1478" s="26" t="str">
        <f>VLOOKUP(A1478,Meta.Features!$A:$G,$C$1,FALSE)</f>
        <v>systemische_therapie_substanzen</v>
      </c>
      <c r="D1478" s="26" t="str">
        <f>VLOOKUP(A1478,Meta.Features!$A:$G,$D$1,FALSE)</f>
        <v>Substance</v>
      </c>
      <c r="E1478" s="26" t="str">
        <f>VLOOKUP(A1478,Meta.Features!$A:$K,$E$1,FALSE)</f>
        <v>Nominal</v>
      </c>
      <c r="F1478" s="45" t="s">
        <v>1882</v>
      </c>
      <c r="G1478" s="45" t="s">
        <v>1882</v>
      </c>
      <c r="H1478" s="6"/>
    </row>
    <row r="1479" spans="1:8" customFormat="1" ht="18" customHeight="1" x14ac:dyDescent="0.3">
      <c r="A1479" s="28">
        <v>134</v>
      </c>
      <c r="B1479" s="26" t="str">
        <f>VLOOKUP(A1479,Meta.Features!$A:$G,$B$1,FALSE)</f>
        <v>SystemicTherapy</v>
      </c>
      <c r="C1479" s="26" t="str">
        <f>VLOOKUP(A1479,Meta.Features!$A:$G,$C$1,FALSE)</f>
        <v>systemische_therapie_substanzen</v>
      </c>
      <c r="D1479" s="26" t="str">
        <f>VLOOKUP(A1479,Meta.Features!$A:$G,$D$1,FALSE)</f>
        <v>Substance</v>
      </c>
      <c r="E1479" s="26" t="str">
        <f>VLOOKUP(A1479,Meta.Features!$A:$K,$E$1,FALSE)</f>
        <v>Nominal</v>
      </c>
      <c r="F1479" s="45" t="s">
        <v>1724</v>
      </c>
      <c r="G1479" s="45" t="s">
        <v>1724</v>
      </c>
      <c r="H1479" s="6"/>
    </row>
    <row r="1480" spans="1:8" customFormat="1" ht="18" customHeight="1" x14ac:dyDescent="0.3">
      <c r="A1480" s="28">
        <v>134</v>
      </c>
      <c r="B1480" s="26" t="str">
        <f>VLOOKUP(A1480,Meta.Features!$A:$G,$B$1,FALSE)</f>
        <v>SystemicTherapy</v>
      </c>
      <c r="C1480" s="26" t="str">
        <f>VLOOKUP(A1480,Meta.Features!$A:$G,$C$1,FALSE)</f>
        <v>systemische_therapie_substanzen</v>
      </c>
      <c r="D1480" s="26" t="str">
        <f>VLOOKUP(A1480,Meta.Features!$A:$G,$D$1,FALSE)</f>
        <v>Substance</v>
      </c>
      <c r="E1480" s="26" t="str">
        <f>VLOOKUP(A1480,Meta.Features!$A:$K,$E$1,FALSE)</f>
        <v>Nominal</v>
      </c>
      <c r="F1480" s="45" t="s">
        <v>1916</v>
      </c>
      <c r="G1480" s="45" t="s">
        <v>1916</v>
      </c>
      <c r="H1480" s="6"/>
    </row>
    <row r="1481" spans="1:8" customFormat="1" ht="18" customHeight="1" x14ac:dyDescent="0.3">
      <c r="A1481" s="28">
        <v>134</v>
      </c>
      <c r="B1481" s="26" t="str">
        <f>VLOOKUP(A1481,Meta.Features!$A:$G,$B$1,FALSE)</f>
        <v>SystemicTherapy</v>
      </c>
      <c r="C1481" s="26" t="str">
        <f>VLOOKUP(A1481,Meta.Features!$A:$G,$C$1,FALSE)</f>
        <v>systemische_therapie_substanzen</v>
      </c>
      <c r="D1481" s="26" t="str">
        <f>VLOOKUP(A1481,Meta.Features!$A:$G,$D$1,FALSE)</f>
        <v>Substance</v>
      </c>
      <c r="E1481" s="26" t="str">
        <f>VLOOKUP(A1481,Meta.Features!$A:$K,$E$1,FALSE)</f>
        <v>Nominal</v>
      </c>
      <c r="F1481" s="45" t="s">
        <v>1688</v>
      </c>
      <c r="G1481" s="45" t="s">
        <v>1688</v>
      </c>
      <c r="H1481" s="6"/>
    </row>
    <row r="1482" spans="1:8" customFormat="1" ht="18" customHeight="1" x14ac:dyDescent="0.3">
      <c r="A1482" s="28">
        <v>134</v>
      </c>
      <c r="B1482" s="26" t="str">
        <f>VLOOKUP(A1482,Meta.Features!$A:$G,$B$1,FALSE)</f>
        <v>SystemicTherapy</v>
      </c>
      <c r="C1482" s="26" t="str">
        <f>VLOOKUP(A1482,Meta.Features!$A:$G,$C$1,FALSE)</f>
        <v>systemische_therapie_substanzen</v>
      </c>
      <c r="D1482" s="26" t="str">
        <f>VLOOKUP(A1482,Meta.Features!$A:$G,$D$1,FALSE)</f>
        <v>Substance</v>
      </c>
      <c r="E1482" s="26" t="str">
        <f>VLOOKUP(A1482,Meta.Features!$A:$K,$E$1,FALSE)</f>
        <v>Nominal</v>
      </c>
      <c r="F1482" s="45" t="s">
        <v>2009</v>
      </c>
      <c r="G1482" s="45" t="s">
        <v>2009</v>
      </c>
      <c r="H1482" s="6"/>
    </row>
    <row r="1483" spans="1:8" customFormat="1" ht="18" customHeight="1" x14ac:dyDescent="0.3">
      <c r="A1483" s="28">
        <v>134</v>
      </c>
      <c r="B1483" s="26" t="str">
        <f>VLOOKUP(A1483,Meta.Features!$A:$G,$B$1,FALSE)</f>
        <v>SystemicTherapy</v>
      </c>
      <c r="C1483" s="26" t="str">
        <f>VLOOKUP(A1483,Meta.Features!$A:$G,$C$1,FALSE)</f>
        <v>systemische_therapie_substanzen</v>
      </c>
      <c r="D1483" s="26" t="str">
        <f>VLOOKUP(A1483,Meta.Features!$A:$G,$D$1,FALSE)</f>
        <v>Substance</v>
      </c>
      <c r="E1483" s="26" t="str">
        <f>VLOOKUP(A1483,Meta.Features!$A:$K,$E$1,FALSE)</f>
        <v>Nominal</v>
      </c>
      <c r="F1483" s="45" t="s">
        <v>1669</v>
      </c>
      <c r="G1483" s="45" t="s">
        <v>1669</v>
      </c>
      <c r="H1483" s="6"/>
    </row>
    <row r="1484" spans="1:8" customFormat="1" ht="18" customHeight="1" x14ac:dyDescent="0.3">
      <c r="A1484" s="28">
        <v>134</v>
      </c>
      <c r="B1484" s="26" t="str">
        <f>VLOOKUP(A1484,Meta.Features!$A:$G,$B$1,FALSE)</f>
        <v>SystemicTherapy</v>
      </c>
      <c r="C1484" s="26" t="str">
        <f>VLOOKUP(A1484,Meta.Features!$A:$G,$C$1,FALSE)</f>
        <v>systemische_therapie_substanzen</v>
      </c>
      <c r="D1484" s="26" t="str">
        <f>VLOOKUP(A1484,Meta.Features!$A:$G,$D$1,FALSE)</f>
        <v>Substance</v>
      </c>
      <c r="E1484" s="26" t="str">
        <f>VLOOKUP(A1484,Meta.Features!$A:$K,$E$1,FALSE)</f>
        <v>Nominal</v>
      </c>
      <c r="F1484" s="45" t="s">
        <v>1670</v>
      </c>
      <c r="G1484" s="45" t="s">
        <v>1670</v>
      </c>
      <c r="H1484" s="6"/>
    </row>
    <row r="1485" spans="1:8" customFormat="1" ht="18" customHeight="1" x14ac:dyDescent="0.3">
      <c r="A1485" s="28">
        <v>134</v>
      </c>
      <c r="B1485" s="26" t="str">
        <f>VLOOKUP(A1485,Meta.Features!$A:$G,$B$1,FALSE)</f>
        <v>SystemicTherapy</v>
      </c>
      <c r="C1485" s="26" t="str">
        <f>VLOOKUP(A1485,Meta.Features!$A:$G,$C$1,FALSE)</f>
        <v>systemische_therapie_substanzen</v>
      </c>
      <c r="D1485" s="26" t="str">
        <f>VLOOKUP(A1485,Meta.Features!$A:$G,$D$1,FALSE)</f>
        <v>Substance</v>
      </c>
      <c r="E1485" s="26" t="str">
        <f>VLOOKUP(A1485,Meta.Features!$A:$K,$E$1,FALSE)</f>
        <v>Nominal</v>
      </c>
      <c r="F1485" s="45" t="s">
        <v>1671</v>
      </c>
      <c r="G1485" s="45" t="s">
        <v>1671</v>
      </c>
      <c r="H1485" s="6"/>
    </row>
    <row r="1486" spans="1:8" customFormat="1" ht="18" customHeight="1" x14ac:dyDescent="0.3">
      <c r="A1486" s="28">
        <v>134</v>
      </c>
      <c r="B1486" s="26" t="str">
        <f>VLOOKUP(A1486,Meta.Features!$A:$G,$B$1,FALSE)</f>
        <v>SystemicTherapy</v>
      </c>
      <c r="C1486" s="26" t="str">
        <f>VLOOKUP(A1486,Meta.Features!$A:$G,$C$1,FALSE)</f>
        <v>systemische_therapie_substanzen</v>
      </c>
      <c r="D1486" s="26" t="str">
        <f>VLOOKUP(A1486,Meta.Features!$A:$G,$D$1,FALSE)</f>
        <v>Substance</v>
      </c>
      <c r="E1486" s="26" t="str">
        <f>VLOOKUP(A1486,Meta.Features!$A:$K,$E$1,FALSE)</f>
        <v>Nominal</v>
      </c>
      <c r="F1486" s="45" t="s">
        <v>1673</v>
      </c>
      <c r="G1486" s="45" t="s">
        <v>1673</v>
      </c>
      <c r="H1486" s="6"/>
    </row>
    <row r="1487" spans="1:8" customFormat="1" ht="18" customHeight="1" x14ac:dyDescent="0.3">
      <c r="A1487" s="28">
        <v>134</v>
      </c>
      <c r="B1487" s="26" t="str">
        <f>VLOOKUP(A1487,Meta.Features!$A:$G,$B$1,FALSE)</f>
        <v>SystemicTherapy</v>
      </c>
      <c r="C1487" s="26" t="str">
        <f>VLOOKUP(A1487,Meta.Features!$A:$G,$C$1,FALSE)</f>
        <v>systemische_therapie_substanzen</v>
      </c>
      <c r="D1487" s="26" t="str">
        <f>VLOOKUP(A1487,Meta.Features!$A:$G,$D$1,FALSE)</f>
        <v>Substance</v>
      </c>
      <c r="E1487" s="26" t="str">
        <f>VLOOKUP(A1487,Meta.Features!$A:$K,$E$1,FALSE)</f>
        <v>Nominal</v>
      </c>
      <c r="F1487" s="45" t="s">
        <v>1672</v>
      </c>
      <c r="G1487" s="45" t="s">
        <v>1672</v>
      </c>
      <c r="H1487" s="6"/>
    </row>
    <row r="1488" spans="1:8" customFormat="1" ht="18" customHeight="1" x14ac:dyDescent="0.3">
      <c r="A1488" s="28">
        <v>134</v>
      </c>
      <c r="B1488" s="26" t="str">
        <f>VLOOKUP(A1488,Meta.Features!$A:$G,$B$1,FALSE)</f>
        <v>SystemicTherapy</v>
      </c>
      <c r="C1488" s="26" t="str">
        <f>VLOOKUP(A1488,Meta.Features!$A:$G,$C$1,FALSE)</f>
        <v>systemische_therapie_substanzen</v>
      </c>
      <c r="D1488" s="26" t="str">
        <f>VLOOKUP(A1488,Meta.Features!$A:$G,$D$1,FALSE)</f>
        <v>Substance</v>
      </c>
      <c r="E1488" s="26" t="str">
        <f>VLOOKUP(A1488,Meta.Features!$A:$K,$E$1,FALSE)</f>
        <v>Nominal</v>
      </c>
      <c r="F1488" s="45" t="s">
        <v>1674</v>
      </c>
      <c r="G1488" s="45" t="s">
        <v>1674</v>
      </c>
      <c r="H1488" s="6"/>
    </row>
    <row r="1489" spans="1:10" customFormat="1" ht="18" customHeight="1" x14ac:dyDescent="0.3">
      <c r="A1489" s="28">
        <v>134</v>
      </c>
      <c r="B1489" s="26" t="str">
        <f>VLOOKUP(A1489,Meta.Features!$A:$G,$B$1,FALSE)</f>
        <v>SystemicTherapy</v>
      </c>
      <c r="C1489" s="26" t="str">
        <f>VLOOKUP(A1489,Meta.Features!$A:$G,$C$1,FALSE)</f>
        <v>systemische_therapie_substanzen</v>
      </c>
      <c r="D1489" s="26" t="str">
        <f>VLOOKUP(A1489,Meta.Features!$A:$G,$D$1,FALSE)</f>
        <v>Substance</v>
      </c>
      <c r="E1489" s="26" t="str">
        <f>VLOOKUP(A1489,Meta.Features!$A:$K,$E$1,FALSE)</f>
        <v>Nominal</v>
      </c>
      <c r="F1489" s="45" t="s">
        <v>1875</v>
      </c>
      <c r="G1489" s="45" t="s">
        <v>1875</v>
      </c>
      <c r="H1489" s="6"/>
    </row>
    <row r="1490" spans="1:10" customFormat="1" ht="18" customHeight="1" x14ac:dyDescent="0.3">
      <c r="A1490" s="28">
        <v>134</v>
      </c>
      <c r="B1490" s="26" t="str">
        <f>VLOOKUP(A1490,Meta.Features!$A:$G,$B$1,FALSE)</f>
        <v>SystemicTherapy</v>
      </c>
      <c r="C1490" s="26" t="str">
        <f>VLOOKUP(A1490,Meta.Features!$A:$G,$C$1,FALSE)</f>
        <v>systemische_therapie_substanzen</v>
      </c>
      <c r="D1490" s="26" t="str">
        <f>VLOOKUP(A1490,Meta.Features!$A:$G,$D$1,FALSE)</f>
        <v>Substance</v>
      </c>
      <c r="E1490" s="26" t="str">
        <f>VLOOKUP(A1490,Meta.Features!$A:$K,$E$1,FALSE)</f>
        <v>Nominal</v>
      </c>
      <c r="F1490" s="45" t="s">
        <v>2090</v>
      </c>
      <c r="G1490" s="45" t="s">
        <v>2090</v>
      </c>
      <c r="H1490" s="6"/>
    </row>
    <row r="1491" spans="1:10" customFormat="1" ht="18" customHeight="1" x14ac:dyDescent="0.3">
      <c r="A1491" s="28">
        <v>134</v>
      </c>
      <c r="B1491" s="26" t="str">
        <f>VLOOKUP(A1491,Meta.Features!$A:$G,$B$1,FALSE)</f>
        <v>SystemicTherapy</v>
      </c>
      <c r="C1491" s="26" t="str">
        <f>VLOOKUP(A1491,Meta.Features!$A:$G,$C$1,FALSE)</f>
        <v>systemische_therapie_substanzen</v>
      </c>
      <c r="D1491" s="26" t="str">
        <f>VLOOKUP(A1491,Meta.Features!$A:$G,$D$1,FALSE)</f>
        <v>Substance</v>
      </c>
      <c r="E1491" s="26" t="str">
        <f>VLOOKUP(A1491,Meta.Features!$A:$K,$E$1,FALSE)</f>
        <v>Nominal</v>
      </c>
      <c r="F1491" s="45" t="s">
        <v>1870</v>
      </c>
      <c r="G1491" s="45" t="s">
        <v>1870</v>
      </c>
      <c r="H1491" s="6"/>
    </row>
    <row r="1492" spans="1:10" customFormat="1" ht="18" customHeight="1" x14ac:dyDescent="0.3">
      <c r="A1492" s="28">
        <v>134</v>
      </c>
      <c r="B1492" s="26" t="str">
        <f>VLOOKUP(A1492,Meta.Features!$A:$G,$B$1,FALSE)</f>
        <v>SystemicTherapy</v>
      </c>
      <c r="C1492" s="26" t="str">
        <f>VLOOKUP(A1492,Meta.Features!$A:$G,$C$1,FALSE)</f>
        <v>systemische_therapie_substanzen</v>
      </c>
      <c r="D1492" s="26" t="str">
        <f>VLOOKUP(A1492,Meta.Features!$A:$G,$D$1,FALSE)</f>
        <v>Substance</v>
      </c>
      <c r="E1492" s="26" t="str">
        <f>VLOOKUP(A1492,Meta.Features!$A:$K,$E$1,FALSE)</f>
        <v>Nominal</v>
      </c>
      <c r="F1492" s="45" t="s">
        <v>1959</v>
      </c>
      <c r="G1492" s="45" t="s">
        <v>1959</v>
      </c>
      <c r="H1492" s="6"/>
    </row>
    <row r="1493" spans="1:10" customFormat="1" ht="18" customHeight="1" x14ac:dyDescent="0.3">
      <c r="A1493" s="28">
        <v>134</v>
      </c>
      <c r="B1493" s="26" t="str">
        <f>VLOOKUP(A1493,Meta.Features!$A:$G,$B$1,FALSE)</f>
        <v>SystemicTherapy</v>
      </c>
      <c r="C1493" s="26" t="str">
        <f>VLOOKUP(A1493,Meta.Features!$A:$G,$C$1,FALSE)</f>
        <v>systemische_therapie_substanzen</v>
      </c>
      <c r="D1493" s="26" t="str">
        <f>VLOOKUP(A1493,Meta.Features!$A:$G,$D$1,FALSE)</f>
        <v>Substance</v>
      </c>
      <c r="E1493" s="26" t="str">
        <f>VLOOKUP(A1493,Meta.Features!$A:$K,$E$1,FALSE)</f>
        <v>Nominal</v>
      </c>
      <c r="F1493" s="45" t="s">
        <v>1917</v>
      </c>
      <c r="G1493" s="45" t="s">
        <v>1917</v>
      </c>
      <c r="H1493" s="6"/>
    </row>
    <row r="1494" spans="1:10" customFormat="1" ht="18" customHeight="1" x14ac:dyDescent="0.3">
      <c r="A1494" s="28">
        <v>134</v>
      </c>
      <c r="B1494" s="26" t="str">
        <f>VLOOKUP(A1494,Meta.Features!$A:$G,$B$1,FALSE)</f>
        <v>SystemicTherapy</v>
      </c>
      <c r="C1494" s="26" t="str">
        <f>VLOOKUP(A1494,Meta.Features!$A:$G,$C$1,FALSE)</f>
        <v>systemische_therapie_substanzen</v>
      </c>
      <c r="D1494" s="26" t="str">
        <f>VLOOKUP(A1494,Meta.Features!$A:$G,$D$1,FALSE)</f>
        <v>Substance</v>
      </c>
      <c r="E1494" s="26" t="str">
        <f>VLOOKUP(A1494,Meta.Features!$A:$K,$E$1,FALSE)</f>
        <v>Nominal</v>
      </c>
      <c r="F1494" s="45" t="s">
        <v>1756</v>
      </c>
      <c r="G1494" s="45" t="s">
        <v>1756</v>
      </c>
      <c r="H1494" s="6"/>
    </row>
    <row r="1495" spans="1:10" customFormat="1" ht="18" customHeight="1" x14ac:dyDescent="0.3">
      <c r="A1495" s="28">
        <v>134</v>
      </c>
      <c r="B1495" s="26" t="str">
        <f>VLOOKUP(A1495,Meta.Features!$A:$G,$B$1,FALSE)</f>
        <v>SystemicTherapy</v>
      </c>
      <c r="C1495" s="26" t="str">
        <f>VLOOKUP(A1495,Meta.Features!$A:$G,$C$1,FALSE)</f>
        <v>systemische_therapie_substanzen</v>
      </c>
      <c r="D1495" s="26" t="str">
        <f>VLOOKUP(A1495,Meta.Features!$A:$G,$D$1,FALSE)</f>
        <v>Substance</v>
      </c>
      <c r="E1495" s="26" t="str">
        <f>VLOOKUP(A1495,Meta.Features!$A:$K,$E$1,FALSE)</f>
        <v>Nominal</v>
      </c>
      <c r="F1495" s="45" t="s">
        <v>2122</v>
      </c>
      <c r="G1495" s="45" t="s">
        <v>2122</v>
      </c>
      <c r="H1495" s="6"/>
    </row>
    <row r="1496" spans="1:10" customFormat="1" ht="18" customHeight="1" x14ac:dyDescent="0.3">
      <c r="A1496" s="28">
        <v>134</v>
      </c>
      <c r="B1496" s="26" t="str">
        <f>VLOOKUP(A1496,Meta.Features!$A:$G,$B$1,FALSE)</f>
        <v>SystemicTherapy</v>
      </c>
      <c r="C1496" s="26" t="str">
        <f>VLOOKUP(A1496,Meta.Features!$A:$G,$C$1,FALSE)</f>
        <v>systemische_therapie_substanzen</v>
      </c>
      <c r="D1496" s="26" t="str">
        <f>VLOOKUP(A1496,Meta.Features!$A:$G,$D$1,FALSE)</f>
        <v>Substance</v>
      </c>
      <c r="E1496" s="26" t="str">
        <f>VLOOKUP(A1496,Meta.Features!$A:$K,$E$1,FALSE)</f>
        <v>Nominal</v>
      </c>
      <c r="F1496" s="45" t="s">
        <v>2446</v>
      </c>
      <c r="G1496" s="45" t="s">
        <v>2446</v>
      </c>
      <c r="H1496" s="6"/>
    </row>
    <row r="1497" spans="1:10" customFormat="1" ht="18" customHeight="1" x14ac:dyDescent="0.3">
      <c r="A1497" s="28">
        <v>134</v>
      </c>
      <c r="B1497" s="26" t="str">
        <f>VLOOKUP(A1497,Meta.Features!$A:$G,$B$1,FALSE)</f>
        <v>SystemicTherapy</v>
      </c>
      <c r="C1497" s="26" t="str">
        <f>VLOOKUP(A1497,Meta.Features!$A:$G,$C$1,FALSE)</f>
        <v>systemische_therapie_substanzen</v>
      </c>
      <c r="D1497" s="26" t="str">
        <f>VLOOKUP(A1497,Meta.Features!$A:$G,$D$1,FALSE)</f>
        <v>Substance</v>
      </c>
      <c r="E1497" s="26" t="str">
        <f>VLOOKUP(A1497,Meta.Features!$A:$K,$E$1,FALSE)</f>
        <v>Nominal</v>
      </c>
      <c r="F1497" s="45" t="s">
        <v>1696</v>
      </c>
      <c r="G1497" s="45" t="s">
        <v>1696</v>
      </c>
      <c r="H1497" s="6"/>
    </row>
    <row r="1498" spans="1:10" customFormat="1" ht="18" customHeight="1" x14ac:dyDescent="0.3">
      <c r="A1498" s="28">
        <v>134</v>
      </c>
      <c r="B1498" s="26" t="str">
        <f>VLOOKUP(A1498,Meta.Features!$A:$G,$B$1,FALSE)</f>
        <v>SystemicTherapy</v>
      </c>
      <c r="C1498" s="26" t="str">
        <f>VLOOKUP(A1498,Meta.Features!$A:$G,$C$1,FALSE)</f>
        <v>systemische_therapie_substanzen</v>
      </c>
      <c r="D1498" s="26" t="str">
        <f>VLOOKUP(A1498,Meta.Features!$A:$G,$D$1,FALSE)</f>
        <v>Substance</v>
      </c>
      <c r="E1498" s="26" t="str">
        <f>VLOOKUP(A1498,Meta.Features!$A:$K,$E$1,FALSE)</f>
        <v>Nominal</v>
      </c>
      <c r="F1498" s="45" t="s">
        <v>2429</v>
      </c>
      <c r="G1498" s="45" t="s">
        <v>2429</v>
      </c>
      <c r="H1498" s="6"/>
    </row>
    <row r="1499" spans="1:10" ht="18" customHeight="1" x14ac:dyDescent="0.3">
      <c r="A1499" s="28">
        <v>130</v>
      </c>
      <c r="B1499" s="26" t="str">
        <f>VLOOKUP(A1499,Meta.Features!$A:$G,$B$1,FALSE)</f>
        <v>SystemicTherapy</v>
      </c>
      <c r="C1499" s="26" t="str">
        <f>VLOOKUP(A1499,Meta.Features!$A:$G,$C$1,FALSE)</f>
        <v>therapieart</v>
      </c>
      <c r="D1499" s="26" t="str">
        <f>VLOOKUP(A1499,Meta.Features!$A:$G,$D$1,FALSE)</f>
        <v>Type</v>
      </c>
      <c r="E1499" s="26" t="str">
        <f>VLOOKUP(A1499,Meta.Features!$A:$K,$E$1,FALSE)</f>
        <v>Nominal</v>
      </c>
      <c r="F1499" s="3" t="s">
        <v>842</v>
      </c>
      <c r="G1499" s="3" t="s">
        <v>842</v>
      </c>
      <c r="H1499" s="1" t="s">
        <v>843</v>
      </c>
      <c r="I1499" s="1" t="s">
        <v>843</v>
      </c>
      <c r="J1499" s="1"/>
    </row>
    <row r="1500" spans="1:10" ht="18" customHeight="1" x14ac:dyDescent="0.3">
      <c r="A1500" s="28">
        <v>130</v>
      </c>
      <c r="B1500" s="26" t="str">
        <f>VLOOKUP(A1500,Meta.Features!$A:$G,$B$1,FALSE)</f>
        <v>SystemicTherapy</v>
      </c>
      <c r="C1500" s="26" t="str">
        <f>VLOOKUP(A1500,Meta.Features!$A:$G,$C$1,FALSE)</f>
        <v>therapieart</v>
      </c>
      <c r="D1500" s="26" t="str">
        <f>VLOOKUP(A1500,Meta.Features!$A:$G,$D$1,FALSE)</f>
        <v>Type</v>
      </c>
      <c r="E1500" s="26" t="str">
        <f>VLOOKUP(A1500,Meta.Features!$A:$K,$E$1,FALSE)</f>
        <v>Nominal</v>
      </c>
      <c r="F1500" s="3" t="s">
        <v>844</v>
      </c>
      <c r="G1500" s="3" t="s">
        <v>844</v>
      </c>
      <c r="H1500" s="1" t="s">
        <v>845</v>
      </c>
      <c r="I1500" s="1" t="s">
        <v>845</v>
      </c>
      <c r="J1500" s="1"/>
    </row>
    <row r="1501" spans="1:10" ht="18" customHeight="1" x14ac:dyDescent="0.3">
      <c r="A1501" s="28">
        <v>130</v>
      </c>
      <c r="B1501" s="26" t="str">
        <f>VLOOKUP(A1501,Meta.Features!$A:$G,$B$1,FALSE)</f>
        <v>SystemicTherapy</v>
      </c>
      <c r="C1501" s="26" t="str">
        <f>VLOOKUP(A1501,Meta.Features!$A:$G,$C$1,FALSE)</f>
        <v>therapieart</v>
      </c>
      <c r="D1501" s="26" t="str">
        <f>VLOOKUP(A1501,Meta.Features!$A:$G,$D$1,FALSE)</f>
        <v>Type</v>
      </c>
      <c r="E1501" s="26" t="str">
        <f>VLOOKUP(A1501,Meta.Features!$A:$K,$E$1,FALSE)</f>
        <v>Nominal</v>
      </c>
      <c r="F1501" s="3" t="s">
        <v>846</v>
      </c>
      <c r="G1501" s="3" t="s">
        <v>846</v>
      </c>
      <c r="H1501" s="1" t="s">
        <v>847</v>
      </c>
      <c r="I1501" s="1" t="s">
        <v>847</v>
      </c>
      <c r="J1501" s="1"/>
    </row>
    <row r="1502" spans="1:10" ht="18" customHeight="1" x14ac:dyDescent="0.3">
      <c r="A1502" s="28">
        <v>130</v>
      </c>
      <c r="B1502" s="26" t="str">
        <f>VLOOKUP(A1502,Meta.Features!$A:$G,$B$1,FALSE)</f>
        <v>SystemicTherapy</v>
      </c>
      <c r="C1502" s="26" t="str">
        <f>VLOOKUP(A1502,Meta.Features!$A:$G,$C$1,FALSE)</f>
        <v>therapieart</v>
      </c>
      <c r="D1502" s="26" t="str">
        <f>VLOOKUP(A1502,Meta.Features!$A:$G,$D$1,FALSE)</f>
        <v>Type</v>
      </c>
      <c r="E1502" s="26" t="str">
        <f>VLOOKUP(A1502,Meta.Features!$A:$K,$E$1,FALSE)</f>
        <v>Nominal</v>
      </c>
      <c r="F1502" s="3" t="s">
        <v>848</v>
      </c>
      <c r="G1502" s="3" t="s">
        <v>848</v>
      </c>
      <c r="H1502" s="1" t="s">
        <v>849</v>
      </c>
      <c r="I1502" s="1" t="s">
        <v>849</v>
      </c>
      <c r="J1502" s="1"/>
    </row>
    <row r="1503" spans="1:10" ht="18" customHeight="1" x14ac:dyDescent="0.3">
      <c r="A1503" s="28">
        <v>130</v>
      </c>
      <c r="B1503" s="26" t="str">
        <f>VLOOKUP(A1503,Meta.Features!$A:$G,$B$1,FALSE)</f>
        <v>SystemicTherapy</v>
      </c>
      <c r="C1503" s="26" t="str">
        <f>VLOOKUP(A1503,Meta.Features!$A:$G,$C$1,FALSE)</f>
        <v>therapieart</v>
      </c>
      <c r="D1503" s="26" t="str">
        <f>VLOOKUP(A1503,Meta.Features!$A:$G,$D$1,FALSE)</f>
        <v>Type</v>
      </c>
      <c r="E1503" s="26" t="str">
        <f>VLOOKUP(A1503,Meta.Features!$A:$K,$E$1,FALSE)</f>
        <v>Nominal</v>
      </c>
      <c r="F1503" s="3" t="s">
        <v>850</v>
      </c>
      <c r="G1503" s="3" t="s">
        <v>850</v>
      </c>
      <c r="H1503" s="1" t="s">
        <v>851</v>
      </c>
      <c r="I1503" s="1" t="s">
        <v>851</v>
      </c>
      <c r="J1503" s="1"/>
    </row>
    <row r="1504" spans="1:10" ht="18" customHeight="1" x14ac:dyDescent="0.3">
      <c r="A1504" s="28">
        <v>130</v>
      </c>
      <c r="B1504" s="26" t="str">
        <f>VLOOKUP(A1504,Meta.Features!$A:$G,$B$1,FALSE)</f>
        <v>SystemicTherapy</v>
      </c>
      <c r="C1504" s="26" t="str">
        <f>VLOOKUP(A1504,Meta.Features!$A:$G,$C$1,FALSE)</f>
        <v>therapieart</v>
      </c>
      <c r="D1504" s="26" t="str">
        <f>VLOOKUP(A1504,Meta.Features!$A:$G,$D$1,FALSE)</f>
        <v>Type</v>
      </c>
      <c r="E1504" s="26" t="str">
        <f>VLOOKUP(A1504,Meta.Features!$A:$K,$E$1,FALSE)</f>
        <v>Nominal</v>
      </c>
      <c r="F1504" s="3" t="s">
        <v>852</v>
      </c>
      <c r="G1504" s="3" t="s">
        <v>852</v>
      </c>
      <c r="H1504" s="1" t="s">
        <v>853</v>
      </c>
      <c r="I1504" s="1" t="s">
        <v>853</v>
      </c>
      <c r="J1504" s="1"/>
    </row>
    <row r="1505" spans="1:12" ht="18" customHeight="1" x14ac:dyDescent="0.3">
      <c r="A1505" s="28">
        <v>130</v>
      </c>
      <c r="B1505" s="26" t="str">
        <f>VLOOKUP(A1505,Meta.Features!$A:$G,$B$1,FALSE)</f>
        <v>SystemicTherapy</v>
      </c>
      <c r="C1505" s="26" t="str">
        <f>VLOOKUP(A1505,Meta.Features!$A:$G,$C$1,FALSE)</f>
        <v>therapieart</v>
      </c>
      <c r="D1505" s="26" t="str">
        <f>VLOOKUP(A1505,Meta.Features!$A:$G,$D$1,FALSE)</f>
        <v>Type</v>
      </c>
      <c r="E1505" s="26" t="str">
        <f>VLOOKUP(A1505,Meta.Features!$A:$K,$E$1,FALSE)</f>
        <v>Nominal</v>
      </c>
      <c r="F1505" s="3" t="s">
        <v>854</v>
      </c>
      <c r="G1505" s="3" t="s">
        <v>854</v>
      </c>
      <c r="H1505" s="1" t="s">
        <v>855</v>
      </c>
      <c r="I1505" s="1" t="s">
        <v>855</v>
      </c>
      <c r="J1505" s="1"/>
    </row>
    <row r="1506" spans="1:12" ht="18" customHeight="1" x14ac:dyDescent="0.3">
      <c r="A1506" s="28">
        <v>130</v>
      </c>
      <c r="B1506" s="26" t="str">
        <f>VLOOKUP(A1506,Meta.Features!$A:$G,$B$1,FALSE)</f>
        <v>SystemicTherapy</v>
      </c>
      <c r="C1506" s="26" t="str">
        <f>VLOOKUP(A1506,Meta.Features!$A:$G,$C$1,FALSE)</f>
        <v>therapieart</v>
      </c>
      <c r="D1506" s="26" t="str">
        <f>VLOOKUP(A1506,Meta.Features!$A:$G,$D$1,FALSE)</f>
        <v>Type</v>
      </c>
      <c r="E1506" s="26" t="str">
        <f>VLOOKUP(A1506,Meta.Features!$A:$K,$E$1,FALSE)</f>
        <v>Nominal</v>
      </c>
      <c r="F1506" s="3" t="s">
        <v>825</v>
      </c>
      <c r="G1506" s="3" t="s">
        <v>825</v>
      </c>
      <c r="H1506" s="1" t="s">
        <v>580</v>
      </c>
      <c r="I1506" s="1" t="s">
        <v>580</v>
      </c>
      <c r="J1506" s="1"/>
    </row>
    <row r="1507" spans="1:12" ht="18" customHeight="1" x14ac:dyDescent="0.3">
      <c r="A1507" s="28">
        <v>130</v>
      </c>
      <c r="B1507" s="26" t="str">
        <f>VLOOKUP(A1507,Meta.Features!$A:$G,$B$1,FALSE)</f>
        <v>SystemicTherapy</v>
      </c>
      <c r="C1507" s="26" t="str">
        <f>VLOOKUP(A1507,Meta.Features!$A:$G,$C$1,FALSE)</f>
        <v>therapieart</v>
      </c>
      <c r="D1507" s="26" t="str">
        <f>VLOOKUP(A1507,Meta.Features!$A:$G,$D$1,FALSE)</f>
        <v>Type</v>
      </c>
      <c r="E1507" s="26" t="str">
        <f>VLOOKUP(A1507,Meta.Features!$A:$K,$E$1,FALSE)</f>
        <v>Nominal</v>
      </c>
      <c r="F1507" s="3" t="s">
        <v>585</v>
      </c>
      <c r="G1507" s="3" t="s">
        <v>585</v>
      </c>
      <c r="H1507" s="1" t="s">
        <v>856</v>
      </c>
      <c r="I1507" s="1" t="s">
        <v>856</v>
      </c>
      <c r="J1507" s="1"/>
    </row>
    <row r="1508" spans="1:12" ht="18" customHeight="1" x14ac:dyDescent="0.3">
      <c r="A1508" s="28">
        <v>130</v>
      </c>
      <c r="B1508" s="26" t="str">
        <f>VLOOKUP(A1508,Meta.Features!$A:$G,$B$1,FALSE)</f>
        <v>SystemicTherapy</v>
      </c>
      <c r="C1508" s="26" t="str">
        <f>VLOOKUP(A1508,Meta.Features!$A:$G,$C$1,FALSE)</f>
        <v>therapieart</v>
      </c>
      <c r="D1508" s="26" t="str">
        <f>VLOOKUP(A1508,Meta.Features!$A:$G,$D$1,FALSE)</f>
        <v>Type</v>
      </c>
      <c r="E1508" s="26" t="str">
        <f>VLOOKUP(A1508,Meta.Features!$A:$K,$E$1,FALSE)</f>
        <v>Nominal</v>
      </c>
      <c r="F1508" s="3" t="s">
        <v>857</v>
      </c>
      <c r="G1508" s="3" t="s">
        <v>857</v>
      </c>
      <c r="H1508" s="1" t="s">
        <v>858</v>
      </c>
      <c r="I1508" s="1" t="s">
        <v>858</v>
      </c>
      <c r="J1508" s="1"/>
    </row>
    <row r="1509" spans="1:12" ht="18" customHeight="1" x14ac:dyDescent="0.3">
      <c r="A1509" s="28">
        <v>130</v>
      </c>
      <c r="B1509" s="26" t="str">
        <f>VLOOKUP(A1509,Meta.Features!$A:$G,$B$1,FALSE)</f>
        <v>SystemicTherapy</v>
      </c>
      <c r="C1509" s="26" t="str">
        <f>VLOOKUP(A1509,Meta.Features!$A:$G,$C$1,FALSE)</f>
        <v>therapieart</v>
      </c>
      <c r="D1509" s="26" t="str">
        <f>VLOOKUP(A1509,Meta.Features!$A:$G,$D$1,FALSE)</f>
        <v>Type</v>
      </c>
      <c r="E1509" s="26" t="str">
        <f>VLOOKUP(A1509,Meta.Features!$A:$K,$E$1,FALSE)</f>
        <v>Nominal</v>
      </c>
      <c r="F1509" s="3" t="s">
        <v>859</v>
      </c>
      <c r="G1509" s="3" t="s">
        <v>859</v>
      </c>
      <c r="H1509" s="1" t="s">
        <v>860</v>
      </c>
      <c r="I1509" s="1" t="s">
        <v>860</v>
      </c>
      <c r="J1509" s="1"/>
    </row>
    <row r="1510" spans="1:12" ht="18" customHeight="1" x14ac:dyDescent="0.3">
      <c r="A1510" s="28">
        <v>130</v>
      </c>
      <c r="B1510" s="26" t="str">
        <f>VLOOKUP(A1510,Meta.Features!$A:$G,$B$1,FALSE)</f>
        <v>SystemicTherapy</v>
      </c>
      <c r="C1510" s="26" t="str">
        <f>VLOOKUP(A1510,Meta.Features!$A:$G,$C$1,FALSE)</f>
        <v>therapieart</v>
      </c>
      <c r="D1510" s="26" t="str">
        <f>VLOOKUP(A1510,Meta.Features!$A:$G,$D$1,FALSE)</f>
        <v>Type</v>
      </c>
      <c r="E1510" s="26" t="str">
        <f>VLOOKUP(A1510,Meta.Features!$A:$K,$E$1,FALSE)</f>
        <v>Nominal</v>
      </c>
      <c r="F1510" s="3" t="s">
        <v>2253</v>
      </c>
      <c r="G1510" s="3" t="s">
        <v>2253</v>
      </c>
      <c r="H1510" s="1" t="s">
        <v>2254</v>
      </c>
      <c r="I1510" s="1" t="s">
        <v>2254</v>
      </c>
      <c r="J1510" s="1"/>
    </row>
    <row r="1511" spans="1:12" ht="18" customHeight="1" x14ac:dyDescent="0.3">
      <c r="A1511" s="28">
        <v>130</v>
      </c>
      <c r="B1511" s="26" t="str">
        <f>VLOOKUP(A1511,Meta.Features!$A:$G,$B$1,FALSE)</f>
        <v>SystemicTherapy</v>
      </c>
      <c r="C1511" s="26" t="str">
        <f>VLOOKUP(A1511,Meta.Features!$A:$G,$C$1,FALSE)</f>
        <v>therapieart</v>
      </c>
      <c r="D1511" s="26" t="str">
        <f>VLOOKUP(A1511,Meta.Features!$A:$G,$D$1,FALSE)</f>
        <v>Type</v>
      </c>
      <c r="E1511" s="26" t="str">
        <f>VLOOKUP(A1511,Meta.Features!$A:$K,$E$1,FALSE)</f>
        <v>Nominal</v>
      </c>
      <c r="F1511" s="3" t="s">
        <v>861</v>
      </c>
      <c r="G1511" s="3" t="s">
        <v>861</v>
      </c>
      <c r="H1511" s="1" t="s">
        <v>862</v>
      </c>
      <c r="I1511" s="1" t="s">
        <v>862</v>
      </c>
      <c r="J1511" s="1"/>
    </row>
    <row r="1512" spans="1:12" ht="18" customHeight="1" x14ac:dyDescent="0.3">
      <c r="A1512" s="28">
        <v>130</v>
      </c>
      <c r="B1512" s="26" t="str">
        <f>VLOOKUP(A1512,Meta.Features!$A:$G,$B$1,FALSE)</f>
        <v>SystemicTherapy</v>
      </c>
      <c r="C1512" s="26" t="str">
        <f>VLOOKUP(A1512,Meta.Features!$A:$G,$C$1,FALSE)</f>
        <v>therapieart</v>
      </c>
      <c r="D1512" s="26" t="str">
        <f>VLOOKUP(A1512,Meta.Features!$A:$G,$D$1,FALSE)</f>
        <v>Type</v>
      </c>
      <c r="E1512" s="26" t="str">
        <f>VLOOKUP(A1512,Meta.Features!$A:$K,$E$1,FALSE)</f>
        <v>Nominal</v>
      </c>
      <c r="F1512" s="3" t="s">
        <v>863</v>
      </c>
      <c r="G1512" s="3" t="s">
        <v>863</v>
      </c>
      <c r="H1512" s="1" t="s">
        <v>864</v>
      </c>
      <c r="I1512" s="1" t="s">
        <v>864</v>
      </c>
      <c r="J1512" s="1"/>
    </row>
    <row r="1513" spans="1:12" ht="18" customHeight="1" x14ac:dyDescent="0.3">
      <c r="A1513" s="28">
        <v>130</v>
      </c>
      <c r="B1513" s="26" t="str">
        <f>VLOOKUP(A1513,Meta.Features!$A:$G,$B$1,FALSE)</f>
        <v>SystemicTherapy</v>
      </c>
      <c r="C1513" s="26" t="str">
        <f>VLOOKUP(A1513,Meta.Features!$A:$G,$C$1,FALSE)</f>
        <v>therapieart</v>
      </c>
      <c r="D1513" s="26" t="str">
        <f>VLOOKUP(A1513,Meta.Features!$A:$G,$D$1,FALSE)</f>
        <v>Type</v>
      </c>
      <c r="E1513" s="26" t="str">
        <f>VLOOKUP(A1513,Meta.Features!$A:$K,$E$1,FALSE)</f>
        <v>Nominal</v>
      </c>
      <c r="F1513" s="3" t="s">
        <v>865</v>
      </c>
      <c r="G1513" s="3" t="s">
        <v>865</v>
      </c>
      <c r="H1513" s="1" t="s">
        <v>866</v>
      </c>
      <c r="I1513" s="1" t="s">
        <v>866</v>
      </c>
      <c r="J1513" s="1"/>
    </row>
    <row r="1514" spans="1:12" ht="18" customHeight="1" x14ac:dyDescent="0.3">
      <c r="A1514" s="28">
        <v>130</v>
      </c>
      <c r="B1514" s="26" t="str">
        <f>VLOOKUP(A1514,Meta.Features!$A:$G,$B$1,FALSE)</f>
        <v>SystemicTherapy</v>
      </c>
      <c r="C1514" s="26" t="str">
        <f>VLOOKUP(A1514,Meta.Features!$A:$G,$C$1,FALSE)</f>
        <v>therapieart</v>
      </c>
      <c r="D1514" s="26" t="str">
        <f>VLOOKUP(A1514,Meta.Features!$A:$G,$D$1,FALSE)</f>
        <v>Type</v>
      </c>
      <c r="E1514" s="26" t="str">
        <f>VLOOKUP(A1514,Meta.Features!$A:$K,$E$1,FALSE)</f>
        <v>Nominal</v>
      </c>
      <c r="F1514" s="3" t="s">
        <v>867</v>
      </c>
      <c r="G1514" s="3" t="s">
        <v>867</v>
      </c>
      <c r="H1514" s="1" t="s">
        <v>868</v>
      </c>
      <c r="I1514" s="1" t="s">
        <v>868</v>
      </c>
      <c r="J1514" s="1"/>
    </row>
    <row r="1515" spans="1:12" ht="18" customHeight="1" x14ac:dyDescent="0.3">
      <c r="A1515" s="28">
        <v>128</v>
      </c>
      <c r="B1515" s="26" t="str">
        <f>VLOOKUP(A1515,Meta.Features!$A:$G,$B$1,FALSE)</f>
        <v>SystemicTherapy</v>
      </c>
      <c r="C1515" s="26" t="str">
        <f>VLOOKUP(A1515,Meta.Features!$A:$G,$C$1,FALSE)</f>
        <v>systemische_therapie_stellung_zu_op_therapie</v>
      </c>
      <c r="D1515" s="26" t="str">
        <f>VLOOKUP(A1515,Meta.Features!$A:$G,$D$1,FALSE)</f>
        <v>RelationToSurgery</v>
      </c>
      <c r="E1515" s="26" t="str">
        <f>VLOOKUP(A1515,Meta.Features!$A:$K,$E$1,FALSE)</f>
        <v>Nominal</v>
      </c>
      <c r="F1515" s="5" t="s">
        <v>186</v>
      </c>
      <c r="G1515" s="5" t="s">
        <v>188</v>
      </c>
      <c r="H1515" s="7" t="s">
        <v>188</v>
      </c>
      <c r="I1515" s="4"/>
      <c r="L1515" s="4"/>
    </row>
    <row r="1516" spans="1:12" ht="18" customHeight="1" x14ac:dyDescent="0.3">
      <c r="A1516" s="28">
        <v>128</v>
      </c>
      <c r="B1516" s="26" t="str">
        <f>VLOOKUP(A1516,Meta.Features!$A:$G,$B$1,FALSE)</f>
        <v>SystemicTherapy</v>
      </c>
      <c r="C1516" s="26" t="str">
        <f>VLOOKUP(A1516,Meta.Features!$A:$G,$C$1,FALSE)</f>
        <v>systemische_therapie_stellung_zu_op_therapie</v>
      </c>
      <c r="D1516" s="26" t="str">
        <f>VLOOKUP(A1516,Meta.Features!$A:$G,$D$1,FALSE)</f>
        <v>RelationToSurgery</v>
      </c>
      <c r="E1516" s="26" t="str">
        <f>VLOOKUP(A1516,Meta.Features!$A:$K,$E$1,FALSE)</f>
        <v>Nominal</v>
      </c>
      <c r="F1516" s="5" t="s">
        <v>46</v>
      </c>
      <c r="G1516" s="5" t="s">
        <v>458</v>
      </c>
      <c r="H1516" s="7" t="s">
        <v>458</v>
      </c>
      <c r="I1516" s="4"/>
      <c r="L1516" s="4"/>
    </row>
    <row r="1517" spans="1:12" ht="18" customHeight="1" x14ac:dyDescent="0.3">
      <c r="A1517" s="28">
        <v>128</v>
      </c>
      <c r="B1517" s="26" t="str">
        <f>VLOOKUP(A1517,Meta.Features!$A:$G,$B$1,FALSE)</f>
        <v>SystemicTherapy</v>
      </c>
      <c r="C1517" s="26" t="str">
        <f>VLOOKUP(A1517,Meta.Features!$A:$G,$C$1,FALSE)</f>
        <v>systemische_therapie_stellung_zu_op_therapie</v>
      </c>
      <c r="D1517" s="26" t="str">
        <f>VLOOKUP(A1517,Meta.Features!$A:$G,$D$1,FALSE)</f>
        <v>RelationToSurgery</v>
      </c>
      <c r="E1517" s="26" t="str">
        <f>VLOOKUP(A1517,Meta.Features!$A:$K,$E$1,FALSE)</f>
        <v>Nominal</v>
      </c>
      <c r="F1517" s="5" t="s">
        <v>187</v>
      </c>
      <c r="G1517" s="5" t="s">
        <v>189</v>
      </c>
      <c r="H1517" s="7" t="s">
        <v>189</v>
      </c>
      <c r="I1517" s="4"/>
      <c r="L1517" s="4"/>
    </row>
    <row r="1518" spans="1:12" ht="18" customHeight="1" x14ac:dyDescent="0.3">
      <c r="A1518" s="28">
        <v>128</v>
      </c>
      <c r="B1518" s="26" t="str">
        <f>VLOOKUP(A1518,Meta.Features!$A:$G,$B$1,FALSE)</f>
        <v>SystemicTherapy</v>
      </c>
      <c r="C1518" s="26" t="str">
        <f>VLOOKUP(A1518,Meta.Features!$A:$G,$C$1,FALSE)</f>
        <v>systemische_therapie_stellung_zu_op_therapie</v>
      </c>
      <c r="D1518" s="26" t="str">
        <f>VLOOKUP(A1518,Meta.Features!$A:$G,$D$1,FALSE)</f>
        <v>RelationToSurgery</v>
      </c>
      <c r="E1518" s="26" t="str">
        <f>VLOOKUP(A1518,Meta.Features!$A:$K,$E$1,FALSE)</f>
        <v>Nominal</v>
      </c>
      <c r="F1518" s="3" t="s">
        <v>176</v>
      </c>
      <c r="G1518" s="5" t="s">
        <v>180</v>
      </c>
      <c r="H1518" s="7" t="s">
        <v>180</v>
      </c>
      <c r="I1518" s="4"/>
    </row>
    <row r="1519" spans="1:12" ht="18" customHeight="1" x14ac:dyDescent="0.3">
      <c r="A1519" s="28">
        <v>128</v>
      </c>
      <c r="B1519" s="26" t="str">
        <f>VLOOKUP(A1519,Meta.Features!$A:$G,$B$1,FALSE)</f>
        <v>SystemicTherapy</v>
      </c>
      <c r="C1519" s="26" t="str">
        <f>VLOOKUP(A1519,Meta.Features!$A:$G,$C$1,FALSE)</f>
        <v>systemische_therapie_stellung_zu_op_therapie</v>
      </c>
      <c r="D1519" s="26" t="str">
        <f>VLOOKUP(A1519,Meta.Features!$A:$G,$D$1,FALSE)</f>
        <v>RelationToSurgery</v>
      </c>
      <c r="E1519" s="26" t="str">
        <f>VLOOKUP(A1519,Meta.Features!$A:$K,$E$1,FALSE)</f>
        <v>Nominal</v>
      </c>
      <c r="F1519" s="3" t="s">
        <v>181</v>
      </c>
      <c r="G1519" s="5" t="s">
        <v>1603</v>
      </c>
      <c r="H1519" s="7" t="s">
        <v>190</v>
      </c>
      <c r="I1519" s="4"/>
    </row>
    <row r="1520" spans="1:12" ht="18" customHeight="1" x14ac:dyDescent="0.3">
      <c r="A1520" s="28">
        <v>142</v>
      </c>
      <c r="B1520" s="26" t="str">
        <f>VLOOKUP(A1520,Meta.Features!$A:$G,$B$1,FALSE)</f>
        <v>SystemicTherapy</v>
      </c>
      <c r="C1520" s="26" t="str">
        <f>VLOOKUP(A1520,Meta.Features!$A:$G,$C$1,FALSE)</f>
        <v>CTCAEGrade</v>
      </c>
      <c r="D1520" s="26" t="str">
        <f>VLOOKUP(A1520,Meta.Features!$A:$G,$D$1,FALSE)</f>
        <v>CTCAEGrade</v>
      </c>
      <c r="E1520" s="26" t="str">
        <f>VLOOKUP(A1520,Meta.Features!$A:$K,$E$1,FALSE)</f>
        <v>Nominal</v>
      </c>
      <c r="F1520" s="3" t="s">
        <v>174</v>
      </c>
      <c r="G1520" s="3" t="s">
        <v>659</v>
      </c>
      <c r="H1520" s="1" t="s">
        <v>653</v>
      </c>
      <c r="I1520" s="1" t="s">
        <v>653</v>
      </c>
      <c r="J1520" s="1"/>
    </row>
    <row r="1521" spans="1:10" ht="18" customHeight="1" x14ac:dyDescent="0.3">
      <c r="A1521" s="28">
        <v>142</v>
      </c>
      <c r="B1521" s="26" t="str">
        <f>VLOOKUP(A1521,Meta.Features!$A:$G,$B$1,FALSE)</f>
        <v>SystemicTherapy</v>
      </c>
      <c r="C1521" s="26" t="str">
        <f>VLOOKUP(A1521,Meta.Features!$A:$G,$C$1,FALSE)</f>
        <v>CTCAEGrade</v>
      </c>
      <c r="D1521" s="26" t="str">
        <f>VLOOKUP(A1521,Meta.Features!$A:$G,$D$1,FALSE)</f>
        <v>CTCAEGrade</v>
      </c>
      <c r="E1521" s="26" t="str">
        <f>VLOOKUP(A1521,Meta.Features!$A:$K,$E$1,FALSE)</f>
        <v>Nominal</v>
      </c>
      <c r="F1521" s="3" t="s">
        <v>614</v>
      </c>
      <c r="G1521" s="3">
        <v>1</v>
      </c>
      <c r="H1521" s="1" t="s">
        <v>654</v>
      </c>
      <c r="I1521" s="1" t="s">
        <v>654</v>
      </c>
      <c r="J1521" s="1"/>
    </row>
    <row r="1522" spans="1:10" ht="18" customHeight="1" x14ac:dyDescent="0.3">
      <c r="A1522" s="28">
        <v>142</v>
      </c>
      <c r="B1522" s="26" t="str">
        <f>VLOOKUP(A1522,Meta.Features!$A:$G,$B$1,FALSE)</f>
        <v>SystemicTherapy</v>
      </c>
      <c r="C1522" s="26" t="str">
        <f>VLOOKUP(A1522,Meta.Features!$A:$G,$C$1,FALSE)</f>
        <v>CTCAEGrade</v>
      </c>
      <c r="D1522" s="26" t="str">
        <f>VLOOKUP(A1522,Meta.Features!$A:$G,$D$1,FALSE)</f>
        <v>CTCAEGrade</v>
      </c>
      <c r="E1522" s="26" t="str">
        <f>VLOOKUP(A1522,Meta.Features!$A:$K,$E$1,FALSE)</f>
        <v>Nominal</v>
      </c>
      <c r="F1522" s="3" t="s">
        <v>616</v>
      </c>
      <c r="G1522" s="3">
        <v>2</v>
      </c>
      <c r="H1522" s="1" t="s">
        <v>655</v>
      </c>
      <c r="I1522" s="1" t="s">
        <v>655</v>
      </c>
      <c r="J1522" s="1"/>
    </row>
    <row r="1523" spans="1:10" ht="18" customHeight="1" x14ac:dyDescent="0.3">
      <c r="A1523" s="28">
        <v>142</v>
      </c>
      <c r="B1523" s="26" t="str">
        <f>VLOOKUP(A1523,Meta.Features!$A:$G,$B$1,FALSE)</f>
        <v>SystemicTherapy</v>
      </c>
      <c r="C1523" s="26" t="str">
        <f>VLOOKUP(A1523,Meta.Features!$A:$G,$C$1,FALSE)</f>
        <v>CTCAEGrade</v>
      </c>
      <c r="D1523" s="26" t="str">
        <f>VLOOKUP(A1523,Meta.Features!$A:$G,$D$1,FALSE)</f>
        <v>CTCAEGrade</v>
      </c>
      <c r="E1523" s="26" t="str">
        <f>VLOOKUP(A1523,Meta.Features!$A:$K,$E$1,FALSE)</f>
        <v>Nominal</v>
      </c>
      <c r="F1523" s="3" t="s">
        <v>631</v>
      </c>
      <c r="G1523" s="3">
        <v>3</v>
      </c>
      <c r="H1523" s="1" t="s">
        <v>656</v>
      </c>
      <c r="I1523" s="1" t="s">
        <v>656</v>
      </c>
      <c r="J1523" s="1"/>
    </row>
    <row r="1524" spans="1:10" ht="18" customHeight="1" x14ac:dyDescent="0.3">
      <c r="A1524" s="28">
        <v>142</v>
      </c>
      <c r="B1524" s="26" t="str">
        <f>VLOOKUP(A1524,Meta.Features!$A:$G,$B$1,FALSE)</f>
        <v>SystemicTherapy</v>
      </c>
      <c r="C1524" s="26" t="str">
        <f>VLOOKUP(A1524,Meta.Features!$A:$G,$C$1,FALSE)</f>
        <v>CTCAEGrade</v>
      </c>
      <c r="D1524" s="26" t="str">
        <f>VLOOKUP(A1524,Meta.Features!$A:$G,$D$1,FALSE)</f>
        <v>CTCAEGrade</v>
      </c>
      <c r="E1524" s="26" t="str">
        <f>VLOOKUP(A1524,Meta.Features!$A:$K,$E$1,FALSE)</f>
        <v>Nominal</v>
      </c>
      <c r="F1524" s="3" t="s">
        <v>618</v>
      </c>
      <c r="G1524" s="3">
        <v>4</v>
      </c>
      <c r="H1524" s="1" t="s">
        <v>657</v>
      </c>
      <c r="I1524" s="1" t="s">
        <v>657</v>
      </c>
      <c r="J1524" s="1"/>
    </row>
    <row r="1525" spans="1:10" ht="18" customHeight="1" x14ac:dyDescent="0.3">
      <c r="A1525" s="28">
        <v>142</v>
      </c>
      <c r="B1525" s="26" t="str">
        <f>VLOOKUP(A1525,Meta.Features!$A:$G,$B$1,FALSE)</f>
        <v>SystemicTherapy</v>
      </c>
      <c r="C1525" s="26" t="str">
        <f>VLOOKUP(A1525,Meta.Features!$A:$G,$C$1,FALSE)</f>
        <v>CTCAEGrade</v>
      </c>
      <c r="D1525" s="26" t="str">
        <f>VLOOKUP(A1525,Meta.Features!$A:$G,$D$1,FALSE)</f>
        <v>CTCAEGrade</v>
      </c>
      <c r="E1525" s="26" t="str">
        <f>VLOOKUP(A1525,Meta.Features!$A:$K,$E$1,FALSE)</f>
        <v>Nominal</v>
      </c>
      <c r="F1525" s="3" t="s">
        <v>620</v>
      </c>
      <c r="G1525" s="3">
        <v>5</v>
      </c>
      <c r="H1525" s="1" t="s">
        <v>658</v>
      </c>
      <c r="I1525" s="1" t="s">
        <v>658</v>
      </c>
      <c r="J1525" s="1"/>
    </row>
    <row r="1526" spans="1:10" ht="18" customHeight="1" x14ac:dyDescent="0.3">
      <c r="A1526" s="28">
        <v>148</v>
      </c>
      <c r="B1526" s="26" t="str">
        <f>VLOOKUP(A1526,Meta.Features!$A:$G,$B$1,FALSE)</f>
        <v>TherapyRecommendation</v>
      </c>
      <c r="C1526" s="26" t="str">
        <f>VLOOKUP(A1526,Meta.Features!$A:$G,$C$1,FALSE)</f>
        <v>TherapyRecommendationType</v>
      </c>
      <c r="D1526" s="26" t="str">
        <f>VLOOKUP(A1526,Meta.Features!$A:$G,$D$1,FALSE)</f>
        <v>Type</v>
      </c>
      <c r="E1526" s="26" t="str">
        <f>VLOOKUP(A1526,Meta.Features!$A:$K,$E$1,FALSE)</f>
        <v>Nominal</v>
      </c>
      <c r="F1526" s="3" t="s">
        <v>842</v>
      </c>
      <c r="G1526" s="3" t="s">
        <v>842</v>
      </c>
      <c r="H1526" s="1" t="s">
        <v>843</v>
      </c>
      <c r="I1526" s="1" t="s">
        <v>843</v>
      </c>
      <c r="J1526" s="1"/>
    </row>
    <row r="1527" spans="1:10" ht="18" customHeight="1" x14ac:dyDescent="0.3">
      <c r="A1527" s="28">
        <v>148</v>
      </c>
      <c r="B1527" s="26" t="str">
        <f>VLOOKUP(A1527,Meta.Features!$A:$G,$B$1,FALSE)</f>
        <v>TherapyRecommendation</v>
      </c>
      <c r="C1527" s="26" t="str">
        <f>VLOOKUP(A1527,Meta.Features!$A:$G,$C$1,FALSE)</f>
        <v>TherapyRecommendationType</v>
      </c>
      <c r="D1527" s="26" t="str">
        <f>VLOOKUP(A1527,Meta.Features!$A:$G,$D$1,FALSE)</f>
        <v>Type</v>
      </c>
      <c r="E1527" s="26" t="str">
        <f>VLOOKUP(A1527,Meta.Features!$A:$K,$E$1,FALSE)</f>
        <v>Nominal</v>
      </c>
      <c r="F1527" s="3" t="s">
        <v>844</v>
      </c>
      <c r="G1527" s="3" t="s">
        <v>844</v>
      </c>
      <c r="H1527" s="1" t="s">
        <v>845</v>
      </c>
      <c r="I1527" s="1" t="s">
        <v>845</v>
      </c>
      <c r="J1527" s="1"/>
    </row>
    <row r="1528" spans="1:10" ht="18" customHeight="1" x14ac:dyDescent="0.3">
      <c r="A1528" s="28">
        <v>148</v>
      </c>
      <c r="B1528" s="26" t="str">
        <f>VLOOKUP(A1528,Meta.Features!$A:$G,$B$1,FALSE)</f>
        <v>TherapyRecommendation</v>
      </c>
      <c r="C1528" s="26" t="str">
        <f>VLOOKUP(A1528,Meta.Features!$A:$G,$C$1,FALSE)</f>
        <v>TherapyRecommendationType</v>
      </c>
      <c r="D1528" s="26" t="str">
        <f>VLOOKUP(A1528,Meta.Features!$A:$G,$D$1,FALSE)</f>
        <v>Type</v>
      </c>
      <c r="E1528" s="26" t="str">
        <f>VLOOKUP(A1528,Meta.Features!$A:$K,$E$1,FALSE)</f>
        <v>Nominal</v>
      </c>
      <c r="F1528" s="3" t="s">
        <v>846</v>
      </c>
      <c r="G1528" s="3" t="s">
        <v>846</v>
      </c>
      <c r="H1528" s="1" t="s">
        <v>847</v>
      </c>
      <c r="I1528" s="1" t="s">
        <v>847</v>
      </c>
      <c r="J1528" s="1"/>
    </row>
    <row r="1529" spans="1:10" ht="18" customHeight="1" x14ac:dyDescent="0.3">
      <c r="A1529" s="28">
        <v>148</v>
      </c>
      <c r="B1529" s="26" t="str">
        <f>VLOOKUP(A1529,Meta.Features!$A:$G,$B$1,FALSE)</f>
        <v>TherapyRecommendation</v>
      </c>
      <c r="C1529" s="26" t="str">
        <f>VLOOKUP(A1529,Meta.Features!$A:$G,$C$1,FALSE)</f>
        <v>TherapyRecommendationType</v>
      </c>
      <c r="D1529" s="26" t="str">
        <f>VLOOKUP(A1529,Meta.Features!$A:$G,$D$1,FALSE)</f>
        <v>Type</v>
      </c>
      <c r="E1529" s="26" t="str">
        <f>VLOOKUP(A1529,Meta.Features!$A:$K,$E$1,FALSE)</f>
        <v>Nominal</v>
      </c>
      <c r="F1529" s="3" t="s">
        <v>848</v>
      </c>
      <c r="G1529" s="3" t="s">
        <v>848</v>
      </c>
      <c r="H1529" s="1" t="s">
        <v>1452</v>
      </c>
      <c r="I1529" s="1" t="s">
        <v>1452</v>
      </c>
      <c r="J1529" s="1"/>
    </row>
    <row r="1530" spans="1:10" ht="18" customHeight="1" x14ac:dyDescent="0.3">
      <c r="A1530" s="28">
        <v>148</v>
      </c>
      <c r="B1530" s="26" t="str">
        <f>VLOOKUP(A1530,Meta.Features!$A:$G,$B$1,FALSE)</f>
        <v>TherapyRecommendation</v>
      </c>
      <c r="C1530" s="26" t="str">
        <f>VLOOKUP(A1530,Meta.Features!$A:$G,$C$1,FALSE)</f>
        <v>TherapyRecommendationType</v>
      </c>
      <c r="D1530" s="26" t="str">
        <f>VLOOKUP(A1530,Meta.Features!$A:$G,$D$1,FALSE)</f>
        <v>Type</v>
      </c>
      <c r="E1530" s="26" t="str">
        <f>VLOOKUP(A1530,Meta.Features!$A:$K,$E$1,FALSE)</f>
        <v>Nominal</v>
      </c>
      <c r="F1530" s="3" t="s">
        <v>850</v>
      </c>
      <c r="G1530" s="3" t="s">
        <v>850</v>
      </c>
      <c r="H1530" s="1" t="s">
        <v>851</v>
      </c>
      <c r="I1530" s="1" t="s">
        <v>851</v>
      </c>
      <c r="J1530" s="1"/>
    </row>
    <row r="1531" spans="1:10" ht="18" customHeight="1" x14ac:dyDescent="0.3">
      <c r="A1531" s="28">
        <v>148</v>
      </c>
      <c r="B1531" s="26" t="str">
        <f>VLOOKUP(A1531,Meta.Features!$A:$G,$B$1,FALSE)</f>
        <v>TherapyRecommendation</v>
      </c>
      <c r="C1531" s="26" t="str">
        <f>VLOOKUP(A1531,Meta.Features!$A:$G,$C$1,FALSE)</f>
        <v>TherapyRecommendationType</v>
      </c>
      <c r="D1531" s="26" t="str">
        <f>VLOOKUP(A1531,Meta.Features!$A:$G,$D$1,FALSE)</f>
        <v>Type</v>
      </c>
      <c r="E1531" s="26" t="str">
        <f>VLOOKUP(A1531,Meta.Features!$A:$K,$E$1,FALSE)</f>
        <v>Nominal</v>
      </c>
      <c r="F1531" s="3" t="s">
        <v>852</v>
      </c>
      <c r="G1531" s="3" t="s">
        <v>852</v>
      </c>
      <c r="H1531" s="1" t="s">
        <v>853</v>
      </c>
      <c r="I1531" s="1" t="s">
        <v>853</v>
      </c>
      <c r="J1531" s="1"/>
    </row>
    <row r="1532" spans="1:10" ht="18" customHeight="1" x14ac:dyDescent="0.3">
      <c r="A1532" s="28">
        <v>148</v>
      </c>
      <c r="B1532" s="26" t="str">
        <f>VLOOKUP(A1532,Meta.Features!$A:$G,$B$1,FALSE)</f>
        <v>TherapyRecommendation</v>
      </c>
      <c r="C1532" s="26" t="str">
        <f>VLOOKUP(A1532,Meta.Features!$A:$G,$C$1,FALSE)</f>
        <v>TherapyRecommendationType</v>
      </c>
      <c r="D1532" s="26" t="str">
        <f>VLOOKUP(A1532,Meta.Features!$A:$G,$D$1,FALSE)</f>
        <v>Type</v>
      </c>
      <c r="E1532" s="26" t="str">
        <f>VLOOKUP(A1532,Meta.Features!$A:$K,$E$1,FALSE)</f>
        <v>Nominal</v>
      </c>
      <c r="F1532" s="3" t="s">
        <v>854</v>
      </c>
      <c r="G1532" s="3" t="s">
        <v>854</v>
      </c>
      <c r="H1532" s="1" t="s">
        <v>855</v>
      </c>
      <c r="I1532" s="1" t="s">
        <v>855</v>
      </c>
      <c r="J1532" s="1"/>
    </row>
    <row r="1533" spans="1:10" ht="18" customHeight="1" x14ac:dyDescent="0.3">
      <c r="A1533" s="28">
        <v>148</v>
      </c>
      <c r="B1533" s="26" t="str">
        <f>VLOOKUP(A1533,Meta.Features!$A:$G,$B$1,FALSE)</f>
        <v>TherapyRecommendation</v>
      </c>
      <c r="C1533" s="26" t="str">
        <f>VLOOKUP(A1533,Meta.Features!$A:$G,$C$1,FALSE)</f>
        <v>TherapyRecommendationType</v>
      </c>
      <c r="D1533" s="26" t="str">
        <f>VLOOKUP(A1533,Meta.Features!$A:$G,$D$1,FALSE)</f>
        <v>Type</v>
      </c>
      <c r="E1533" s="26" t="str">
        <f>VLOOKUP(A1533,Meta.Features!$A:$K,$E$1,FALSE)</f>
        <v>Nominal</v>
      </c>
      <c r="F1533" s="3" t="s">
        <v>825</v>
      </c>
      <c r="G1533" s="3" t="s">
        <v>825</v>
      </c>
      <c r="H1533" s="1" t="s">
        <v>580</v>
      </c>
      <c r="I1533" s="1" t="s">
        <v>580</v>
      </c>
      <c r="J1533" s="1"/>
    </row>
    <row r="1534" spans="1:10" ht="18" customHeight="1" x14ac:dyDescent="0.3">
      <c r="A1534" s="28">
        <v>148</v>
      </c>
      <c r="B1534" s="26" t="str">
        <f>VLOOKUP(A1534,Meta.Features!$A:$G,$B$1,FALSE)</f>
        <v>TherapyRecommendation</v>
      </c>
      <c r="C1534" s="26" t="str">
        <f>VLOOKUP(A1534,Meta.Features!$A:$G,$C$1,FALSE)</f>
        <v>TherapyRecommendationType</v>
      </c>
      <c r="D1534" s="26" t="str">
        <f>VLOOKUP(A1534,Meta.Features!$A:$G,$D$1,FALSE)</f>
        <v>Type</v>
      </c>
      <c r="E1534" s="26" t="str">
        <f>VLOOKUP(A1534,Meta.Features!$A:$K,$E$1,FALSE)</f>
        <v>Nominal</v>
      </c>
      <c r="F1534" s="3" t="s">
        <v>869</v>
      </c>
      <c r="G1534" s="3" t="s">
        <v>869</v>
      </c>
      <c r="H1534" s="1" t="s">
        <v>870</v>
      </c>
      <c r="I1534" s="1" t="s">
        <v>870</v>
      </c>
      <c r="J1534" s="1"/>
    </row>
    <row r="1535" spans="1:10" ht="18" customHeight="1" x14ac:dyDescent="0.3">
      <c r="A1535" s="28">
        <v>148</v>
      </c>
      <c r="B1535" s="26" t="str">
        <f>VLOOKUP(A1535,Meta.Features!$A:$G,$B$1,FALSE)</f>
        <v>TherapyRecommendation</v>
      </c>
      <c r="C1535" s="26" t="str">
        <f>VLOOKUP(A1535,Meta.Features!$A:$G,$C$1,FALSE)</f>
        <v>TherapyRecommendationType</v>
      </c>
      <c r="D1535" s="26" t="str">
        <f>VLOOKUP(A1535,Meta.Features!$A:$G,$D$1,FALSE)</f>
        <v>Type</v>
      </c>
      <c r="E1535" s="26" t="str">
        <f>VLOOKUP(A1535,Meta.Features!$A:$K,$E$1,FALSE)</f>
        <v>Nominal</v>
      </c>
      <c r="F1535" s="3" t="s">
        <v>585</v>
      </c>
      <c r="G1535" s="3" t="s">
        <v>585</v>
      </c>
      <c r="H1535" s="1" t="s">
        <v>856</v>
      </c>
      <c r="I1535" s="1" t="s">
        <v>856</v>
      </c>
      <c r="J1535" s="1"/>
    </row>
    <row r="1536" spans="1:10" ht="18" customHeight="1" x14ac:dyDescent="0.3">
      <c r="A1536" s="28">
        <v>148</v>
      </c>
      <c r="B1536" s="26" t="str">
        <f>VLOOKUP(A1536,Meta.Features!$A:$G,$B$1,FALSE)</f>
        <v>TherapyRecommendation</v>
      </c>
      <c r="C1536" s="26" t="str">
        <f>VLOOKUP(A1536,Meta.Features!$A:$G,$C$1,FALSE)</f>
        <v>TherapyRecommendationType</v>
      </c>
      <c r="D1536" s="26" t="str">
        <f>VLOOKUP(A1536,Meta.Features!$A:$G,$D$1,FALSE)</f>
        <v>Type</v>
      </c>
      <c r="E1536" s="26" t="str">
        <f>VLOOKUP(A1536,Meta.Features!$A:$K,$E$1,FALSE)</f>
        <v>Nominal</v>
      </c>
      <c r="F1536" s="3" t="s">
        <v>857</v>
      </c>
      <c r="G1536" s="3" t="s">
        <v>857</v>
      </c>
      <c r="H1536" s="1" t="s">
        <v>858</v>
      </c>
      <c r="I1536" s="1" t="s">
        <v>858</v>
      </c>
      <c r="J1536" s="1"/>
    </row>
    <row r="1537" spans="1:10" ht="18" customHeight="1" x14ac:dyDescent="0.3">
      <c r="A1537" s="28">
        <v>148</v>
      </c>
      <c r="B1537" s="26" t="str">
        <f>VLOOKUP(A1537,Meta.Features!$A:$G,$B$1,FALSE)</f>
        <v>TherapyRecommendation</v>
      </c>
      <c r="C1537" s="26" t="str">
        <f>VLOOKUP(A1537,Meta.Features!$A:$G,$C$1,FALSE)</f>
        <v>TherapyRecommendationType</v>
      </c>
      <c r="D1537" s="26" t="str">
        <f>VLOOKUP(A1537,Meta.Features!$A:$G,$D$1,FALSE)</f>
        <v>Type</v>
      </c>
      <c r="E1537" s="26" t="str">
        <f>VLOOKUP(A1537,Meta.Features!$A:$K,$E$1,FALSE)</f>
        <v>Nominal</v>
      </c>
      <c r="F1537" s="3" t="s">
        <v>859</v>
      </c>
      <c r="G1537" s="3" t="s">
        <v>859</v>
      </c>
      <c r="H1537" s="1" t="s">
        <v>860</v>
      </c>
      <c r="I1537" s="1" t="s">
        <v>860</v>
      </c>
      <c r="J1537" s="1"/>
    </row>
    <row r="1538" spans="1:10" ht="18" customHeight="1" x14ac:dyDescent="0.3">
      <c r="A1538" s="28">
        <v>148</v>
      </c>
      <c r="B1538" s="26" t="str">
        <f>VLOOKUP(A1538,Meta.Features!$A:$G,$B$1,FALSE)</f>
        <v>TherapyRecommendation</v>
      </c>
      <c r="C1538" s="26" t="str">
        <f>VLOOKUP(A1538,Meta.Features!$A:$G,$C$1,FALSE)</f>
        <v>TherapyRecommendationType</v>
      </c>
      <c r="D1538" s="26" t="str">
        <f>VLOOKUP(A1538,Meta.Features!$A:$G,$D$1,FALSE)</f>
        <v>Type</v>
      </c>
      <c r="E1538" s="26" t="str">
        <f>VLOOKUP(A1538,Meta.Features!$A:$K,$E$1,FALSE)</f>
        <v>Nominal</v>
      </c>
      <c r="F1538" s="3" t="s">
        <v>2253</v>
      </c>
      <c r="G1538" s="3" t="s">
        <v>2253</v>
      </c>
      <c r="H1538" s="1" t="s">
        <v>2254</v>
      </c>
      <c r="I1538" s="1" t="s">
        <v>2254</v>
      </c>
      <c r="J1538" s="1"/>
    </row>
    <row r="1539" spans="1:10" ht="18" customHeight="1" x14ac:dyDescent="0.3">
      <c r="A1539" s="28">
        <v>148</v>
      </c>
      <c r="B1539" s="26" t="str">
        <f>VLOOKUP(A1539,Meta.Features!$A:$G,$B$1,FALSE)</f>
        <v>TherapyRecommendation</v>
      </c>
      <c r="C1539" s="26" t="str">
        <f>VLOOKUP(A1539,Meta.Features!$A:$G,$C$1,FALSE)</f>
        <v>TherapyRecommendationType</v>
      </c>
      <c r="D1539" s="26" t="str">
        <f>VLOOKUP(A1539,Meta.Features!$A:$G,$D$1,FALSE)</f>
        <v>Type</v>
      </c>
      <c r="E1539" s="26" t="str">
        <f>VLOOKUP(A1539,Meta.Features!$A:$K,$E$1,FALSE)</f>
        <v>Nominal</v>
      </c>
      <c r="F1539" s="3" t="s">
        <v>863</v>
      </c>
      <c r="G1539" s="3" t="s">
        <v>863</v>
      </c>
      <c r="H1539" s="1" t="s">
        <v>864</v>
      </c>
      <c r="I1539" s="1" t="s">
        <v>864</v>
      </c>
      <c r="J1539" s="1"/>
    </row>
    <row r="1540" spans="1:10" ht="18" customHeight="1" x14ac:dyDescent="0.3">
      <c r="A1540" s="28">
        <v>148</v>
      </c>
      <c r="B1540" s="26" t="str">
        <f>VLOOKUP(A1540,Meta.Features!$A:$G,$B$1,FALSE)</f>
        <v>TherapyRecommendation</v>
      </c>
      <c r="C1540" s="26" t="str">
        <f>VLOOKUP(A1540,Meta.Features!$A:$G,$C$1,FALSE)</f>
        <v>TherapyRecommendationType</v>
      </c>
      <c r="D1540" s="26" t="str">
        <f>VLOOKUP(A1540,Meta.Features!$A:$G,$D$1,FALSE)</f>
        <v>Type</v>
      </c>
      <c r="E1540" s="26" t="str">
        <f>VLOOKUP(A1540,Meta.Features!$A:$K,$E$1,FALSE)</f>
        <v>Nominal</v>
      </c>
      <c r="F1540" s="3" t="s">
        <v>861</v>
      </c>
      <c r="G1540" s="3" t="s">
        <v>861</v>
      </c>
      <c r="H1540" s="1" t="s">
        <v>862</v>
      </c>
      <c r="I1540" s="1" t="s">
        <v>862</v>
      </c>
      <c r="J1540" s="1"/>
    </row>
    <row r="1541" spans="1:10" ht="18" customHeight="1" x14ac:dyDescent="0.3">
      <c r="A1541" s="28">
        <v>149</v>
      </c>
      <c r="B1541" s="26" t="str">
        <f>VLOOKUP(A1541,Meta.Features!$A:$G,$B$1,FALSE)</f>
        <v>TherapyRecommendation</v>
      </c>
      <c r="C1541" s="26" t="str">
        <f>VLOOKUP(A1541,Meta.Features!$A:$G,$C$1,FALSE)</f>
        <v>TherapyRecommendationDeviation</v>
      </c>
      <c r="D1541" s="26" t="str">
        <f>VLOOKUP(A1541,Meta.Features!$A:$G,$D$1,FALSE)</f>
        <v>Deviation</v>
      </c>
      <c r="E1541" s="26" t="str">
        <f>VLOOKUP(A1541,Meta.Features!$A:$K,$E$1,FALSE)</f>
        <v>Nominal</v>
      </c>
      <c r="F1541" s="3" t="s">
        <v>605</v>
      </c>
      <c r="G1541" s="3" t="s">
        <v>651</v>
      </c>
      <c r="H1541" s="1" t="s">
        <v>649</v>
      </c>
      <c r="I1541" s="1" t="s">
        <v>649</v>
      </c>
      <c r="J1541" s="1"/>
    </row>
    <row r="1542" spans="1:10" ht="18" customHeight="1" x14ac:dyDescent="0.3">
      <c r="A1542" s="28">
        <v>149</v>
      </c>
      <c r="B1542" s="26" t="str">
        <f>VLOOKUP(A1542,Meta.Features!$A:$G,$B$1,FALSE)</f>
        <v>TherapyRecommendation</v>
      </c>
      <c r="C1542" s="26" t="str">
        <f>VLOOKUP(A1542,Meta.Features!$A:$G,$C$1,FALSE)</f>
        <v>TherapyRecommendationDeviation</v>
      </c>
      <c r="D1542" s="26" t="str">
        <f>VLOOKUP(A1542,Meta.Features!$A:$G,$D$1,FALSE)</f>
        <v>Deviation</v>
      </c>
      <c r="E1542" s="26" t="str">
        <f>VLOOKUP(A1542,Meta.Features!$A:$K,$E$1,FALSE)</f>
        <v>Nominal</v>
      </c>
      <c r="F1542" s="3" t="s">
        <v>187</v>
      </c>
      <c r="G1542" s="3" t="s">
        <v>652</v>
      </c>
      <c r="H1542" s="1" t="s">
        <v>650</v>
      </c>
      <c r="I1542" s="1" t="s">
        <v>650</v>
      </c>
      <c r="J1542" s="1"/>
    </row>
  </sheetData>
  <autoFilter ref="A3:K1542" xr:uid="{6EF1C1D3-3AE0-4822-BECE-5F11FDFA805B}"/>
  <sortState xmlns:xlrd2="http://schemas.microsoft.com/office/spreadsheetml/2017/richdata2" ref="F955:G1497">
    <sortCondition ref="F955:F1497"/>
  </sortState>
  <conditionalFormatting sqref="F4:F14 F35:F50 F55:F60 F68:F98 F104:F154 F471:F580 F605:F651 F734:F954 F1515:F1519">
    <cfRule type="expression" dxfId="55" priority="129">
      <formula>($F4&lt;&gt;$G4)</formula>
    </cfRule>
  </conditionalFormatting>
  <conditionalFormatting sqref="G4:G14 G35:G50 G55:G60 G68:G98 G104:G144 G471:G580 G605:G651 G734:G954 G1515:G1519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5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100.4414062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42" customHeight="1" x14ac:dyDescent="0.3">
      <c r="A4" s="5" t="s">
        <v>1458</v>
      </c>
      <c r="B4" s="37">
        <v>133</v>
      </c>
      <c r="C4" s="9" t="str">
        <f>VLOOKUP(B4,Meta.Features!$A:$G,$C$1,FALSE)</f>
        <v>SystemicTherapy</v>
      </c>
      <c r="D4" s="44" t="str">
        <f>VLOOKUP(B4,Meta.Features!$A:$G,$D$1,FALSE)</f>
        <v>Regimen</v>
      </c>
      <c r="E4" s="5">
        <v>1</v>
      </c>
      <c r="F4" s="46" t="s">
        <v>2433</v>
      </c>
      <c r="G4" s="17" t="s">
        <v>2434</v>
      </c>
    </row>
    <row r="5" spans="1:7" ht="42" customHeight="1" x14ac:dyDescent="0.3">
      <c r="A5" s="5" t="s">
        <v>1458</v>
      </c>
      <c r="B5" s="37">
        <v>134</v>
      </c>
      <c r="C5" s="9" t="str">
        <f>VLOOKUP(B5,Meta.Features!$A:$G,$C$1,FALSE)</f>
        <v>SystemicTherapy</v>
      </c>
      <c r="D5" s="44" t="str">
        <f>VLOOKUP(B5,Meta.Features!$A:$G,$D$1,FALSE)</f>
        <v>Substance</v>
      </c>
      <c r="E5" s="5">
        <v>2</v>
      </c>
      <c r="F5" s="46" t="s">
        <v>2457</v>
      </c>
      <c r="G5" s="17" t="s">
        <v>2458</v>
      </c>
    </row>
    <row r="6" spans="1:7" ht="25.2" customHeight="1" x14ac:dyDescent="0.3">
      <c r="A6" s="5" t="s">
        <v>1458</v>
      </c>
      <c r="B6" s="37">
        <v>66</v>
      </c>
      <c r="C6" s="9" t="str">
        <f>VLOOKUP(B6,Meta.Features!$A:$G,$C$1,FALSE)</f>
        <v>Patient</v>
      </c>
      <c r="D6" s="44" t="str">
        <f>VLOOKUP(B6,Meta.Features!$A:$G,$D$1,FALSE)</f>
        <v>CausesOfDeath</v>
      </c>
      <c r="E6" s="5">
        <v>1</v>
      </c>
      <c r="F6" s="5" t="s">
        <v>2431</v>
      </c>
      <c r="G6" s="17" t="s">
        <v>2427</v>
      </c>
    </row>
    <row r="42" ht="32.4" customHeight="1" x14ac:dyDescent="0.3"/>
    <row r="45" ht="35.4" customHeight="1" x14ac:dyDescent="0.3"/>
  </sheetData>
  <conditionalFormatting sqref="F4:F5">
    <cfRule type="cellIs" dxfId="52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23" sqref="G23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2410</v>
      </c>
      <c r="E3" s="32" t="s">
        <v>2412</v>
      </c>
      <c r="F3" s="32" t="s">
        <v>2425</v>
      </c>
      <c r="G3" s="32" t="s">
        <v>2426</v>
      </c>
      <c r="H3" s="32" t="s">
        <v>2411</v>
      </c>
      <c r="I3" s="32" t="s">
        <v>2418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2407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651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topLeftCell="G1"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2514</v>
      </c>
      <c r="L3" s="32" t="s">
        <v>2515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topLeftCell="H1"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2514</v>
      </c>
      <c r="L3" s="32" t="s">
        <v>2515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2414</v>
      </c>
      <c r="E3" s="32" t="s">
        <v>2415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R153"/>
  <sheetViews>
    <sheetView workbookViewId="0">
      <pane xSplit="7" ySplit="3" topLeftCell="H127" activePane="bottomRight" state="frozen"/>
      <selection pane="topRight" activeCell="H1" sqref="H1"/>
      <selection pane="bottomLeft" activeCell="A4" sqref="A4"/>
      <selection pane="bottomRight" activeCell="H137" sqref="H137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18.44140625" style="26" customWidth="1"/>
    <col min="8" max="8" width="54.88671875" style="3" customWidth="1"/>
    <col min="10" max="10" width="16.33203125" style="1"/>
    <col min="11" max="11" width="48.21875" style="1" customWidth="1"/>
    <col min="12" max="12" width="23.21875" style="1" customWidth="1"/>
    <col min="13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G1" s="54">
        <v>12</v>
      </c>
      <c r="M1" s="5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1438</v>
      </c>
      <c r="H2" s="51" t="s">
        <v>1540</v>
      </c>
      <c r="I2" s="51" t="s">
        <v>1540</v>
      </c>
      <c r="J2" s="51" t="s">
        <v>1540</v>
      </c>
    </row>
    <row r="3" spans="1:18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0" t="s">
        <v>1453</v>
      </c>
      <c r="H3" s="32" t="s">
        <v>2401</v>
      </c>
      <c r="I3" s="32" t="s">
        <v>2419</v>
      </c>
      <c r="J3" s="32" t="s">
        <v>2614</v>
      </c>
      <c r="K3" s="34"/>
      <c r="L3" s="34"/>
      <c r="M3" s="34"/>
      <c r="N3" s="34"/>
      <c r="O3" s="34"/>
      <c r="P3" s="34"/>
      <c r="Q3" s="34"/>
      <c r="R3" s="34"/>
    </row>
    <row r="4" spans="1:18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26" t="str">
        <f>VLOOKUP(B4,Meta.Features!$A:$L,$G$1,FALSE)</f>
        <v>FALSE</v>
      </c>
      <c r="H4" s="3" t="s">
        <v>1570</v>
      </c>
      <c r="I4" s="3" t="s">
        <v>2420</v>
      </c>
      <c r="J4" s="3" t="s">
        <v>1570</v>
      </c>
      <c r="K4" s="1"/>
      <c r="L4" s="1"/>
      <c r="M4" s="1"/>
      <c r="N4" s="1"/>
      <c r="O4" s="1"/>
      <c r="P4" s="1"/>
      <c r="Q4" s="1"/>
      <c r="R4" s="1"/>
    </row>
    <row r="5" spans="1:18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26" t="str">
        <f>VLOOKUP(B5,Meta.Features!$A:$L,$G$1,FALSE)</f>
        <v>FALSE</v>
      </c>
      <c r="H5" s="3" t="s">
        <v>2400</v>
      </c>
      <c r="I5" s="3" t="s">
        <v>2420</v>
      </c>
      <c r="J5" s="3" t="s">
        <v>1570</v>
      </c>
      <c r="K5" s="1"/>
      <c r="L5" s="1"/>
      <c r="M5" s="1"/>
      <c r="N5" s="1"/>
      <c r="O5" s="1"/>
      <c r="P5" s="1"/>
      <c r="Q5" s="1"/>
      <c r="R5" s="1"/>
    </row>
    <row r="6" spans="1:18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26" t="str">
        <f>VLOOKUP(B6,Meta.Features!$A:$L,$G$1,FALSE)</f>
        <v>FALSE</v>
      </c>
      <c r="H6" s="3" t="s">
        <v>2400</v>
      </c>
      <c r="I6" s="3" t="s">
        <v>2420</v>
      </c>
      <c r="J6" s="3" t="s">
        <v>2506</v>
      </c>
      <c r="K6" s="1"/>
      <c r="L6" s="1"/>
      <c r="M6" s="1"/>
      <c r="N6" s="1"/>
      <c r="O6" s="1"/>
      <c r="P6" s="1"/>
      <c r="Q6" s="1"/>
      <c r="R6" s="1"/>
    </row>
    <row r="7" spans="1:18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26" t="str">
        <f>VLOOKUP(B7,Meta.Features!$A:$L,$G$1,FALSE)</f>
        <v>TRUE</v>
      </c>
      <c r="H7" s="3" t="s">
        <v>2400</v>
      </c>
      <c r="I7" s="3" t="s">
        <v>2420</v>
      </c>
      <c r="J7" s="3" t="s">
        <v>1570</v>
      </c>
      <c r="K7" s="1"/>
      <c r="L7" s="1"/>
      <c r="M7" s="1"/>
      <c r="N7" s="1"/>
      <c r="O7" s="1"/>
      <c r="P7" s="1"/>
      <c r="Q7" s="1"/>
      <c r="R7" s="1"/>
    </row>
    <row r="8" spans="1:18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26" t="str">
        <f>VLOOKUP(B8,Meta.Features!$A:$L,$G$1,FALSE)</f>
        <v>TRUE</v>
      </c>
      <c r="H8" s="3" t="s">
        <v>1570</v>
      </c>
      <c r="I8" s="3" t="s">
        <v>2420</v>
      </c>
      <c r="J8" s="3" t="s">
        <v>1570</v>
      </c>
      <c r="K8" s="1"/>
      <c r="L8" s="1"/>
      <c r="M8" s="1"/>
      <c r="N8" s="1"/>
      <c r="O8" s="1"/>
      <c r="P8" s="1"/>
      <c r="Q8" s="1"/>
      <c r="R8" s="1"/>
    </row>
    <row r="9" spans="1:18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26" t="str">
        <f>VLOOKUP(B9,Meta.Features!$A:$L,$G$1,FALSE)</f>
        <v>FALSE</v>
      </c>
      <c r="H9" s="3" t="s">
        <v>1570</v>
      </c>
      <c r="I9" s="3" t="s">
        <v>2420</v>
      </c>
      <c r="J9" s="3" t="s">
        <v>1570</v>
      </c>
      <c r="K9" s="1"/>
      <c r="L9" s="1"/>
      <c r="M9" s="1"/>
      <c r="N9" s="1"/>
      <c r="O9" s="1"/>
      <c r="P9" s="1"/>
      <c r="Q9" s="1"/>
      <c r="R9" s="1"/>
    </row>
    <row r="10" spans="1:18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26" t="str">
        <f>VLOOKUP(B10,Meta.Features!$A:$L,$G$1,FALSE)</f>
        <v>TRUE</v>
      </c>
      <c r="H10" s="3" t="s">
        <v>1570</v>
      </c>
      <c r="I10" s="3" t="s">
        <v>2420</v>
      </c>
      <c r="J10" s="3" t="s">
        <v>1570</v>
      </c>
      <c r="K10" s="1"/>
      <c r="L10" s="1"/>
      <c r="M10" s="1"/>
      <c r="N10" s="1"/>
      <c r="O10" s="1"/>
      <c r="P10" s="1"/>
      <c r="Q10" s="1"/>
      <c r="R10" s="1"/>
    </row>
    <row r="11" spans="1:18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26" t="str">
        <f>VLOOKUP(B11,Meta.Features!$A:$L,$G$1,FALSE)</f>
        <v>FALSE</v>
      </c>
      <c r="H11" s="3" t="s">
        <v>1570</v>
      </c>
      <c r="I11" s="3" t="s">
        <v>2420</v>
      </c>
      <c r="J11" s="3" t="s">
        <v>1570</v>
      </c>
      <c r="K11" s="1"/>
      <c r="L11" s="1"/>
      <c r="M11" s="1"/>
      <c r="N11" s="1"/>
      <c r="O11" s="1"/>
      <c r="P11" s="1"/>
      <c r="Q11" s="1"/>
      <c r="R11" s="1"/>
    </row>
    <row r="12" spans="1:18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26" t="str">
        <f>VLOOKUP(B12,Meta.Features!$A:$L,$G$1,FALSE)</f>
        <v>FALSE</v>
      </c>
      <c r="H12" s="3" t="s">
        <v>1570</v>
      </c>
      <c r="I12" s="3" t="s">
        <v>2420</v>
      </c>
      <c r="J12" s="3" t="s">
        <v>1570</v>
      </c>
      <c r="K12" s="1"/>
      <c r="L12" s="1"/>
      <c r="M12" s="1"/>
      <c r="N12" s="1"/>
      <c r="O12" s="1"/>
      <c r="P12" s="1"/>
      <c r="Q12" s="1"/>
      <c r="R12" s="1"/>
    </row>
    <row r="13" spans="1:18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26" t="str">
        <f>VLOOKUP(B13,Meta.Features!$A:$L,$G$1,FALSE)</f>
        <v>FALSE</v>
      </c>
      <c r="H13" s="3" t="s">
        <v>1570</v>
      </c>
      <c r="I13" s="3" t="s">
        <v>2420</v>
      </c>
      <c r="J13" s="3" t="s">
        <v>1570</v>
      </c>
      <c r="K13" s="1"/>
      <c r="L13" s="1"/>
      <c r="M13" s="1"/>
      <c r="N13" s="1"/>
      <c r="O13" s="1"/>
      <c r="P13" s="1"/>
      <c r="Q13" s="1"/>
      <c r="R13" s="1"/>
    </row>
    <row r="14" spans="1:18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26" t="str">
        <f>VLOOKUP(B14,Meta.Features!$A:$L,$G$1,FALSE)</f>
        <v>TRUE</v>
      </c>
      <c r="H14" s="3" t="s">
        <v>1570</v>
      </c>
      <c r="I14" s="3" t="s">
        <v>2420</v>
      </c>
      <c r="J14" s="3" t="s">
        <v>1570</v>
      </c>
      <c r="K14" s="1"/>
      <c r="L14" s="1"/>
      <c r="M14" s="1"/>
      <c r="N14" s="1"/>
      <c r="O14" s="1"/>
      <c r="P14" s="1"/>
      <c r="Q14" s="1"/>
      <c r="R14" s="1"/>
    </row>
    <row r="15" spans="1:18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26" t="str">
        <f>VLOOKUP(B15,Meta.Features!$A:$L,$G$1,FALSE)</f>
        <v>FALSE</v>
      </c>
      <c r="H15" s="3" t="s">
        <v>2400</v>
      </c>
      <c r="I15" s="3" t="s">
        <v>2420</v>
      </c>
      <c r="J15" s="3" t="s">
        <v>1570</v>
      </c>
      <c r="K15" s="1"/>
      <c r="L15" s="1"/>
      <c r="M15" s="1"/>
      <c r="N15" s="1"/>
      <c r="O15" s="1"/>
      <c r="P15" s="1"/>
      <c r="Q15" s="1"/>
      <c r="R15" s="1"/>
    </row>
    <row r="16" spans="1:18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26" t="str">
        <f>VLOOKUP(B16,Meta.Features!$A:$L,$G$1,FALSE)</f>
        <v>FALSE</v>
      </c>
      <c r="H16" s="3" t="s">
        <v>2400</v>
      </c>
      <c r="I16" s="3" t="s">
        <v>2420</v>
      </c>
      <c r="J16" s="3" t="s">
        <v>1570</v>
      </c>
      <c r="K16" s="1"/>
      <c r="L16" s="1"/>
      <c r="M16" s="1"/>
      <c r="N16" s="1"/>
      <c r="O16" s="1"/>
      <c r="P16" s="1"/>
      <c r="Q16" s="1"/>
      <c r="R16" s="1"/>
    </row>
    <row r="17" spans="1:18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26" t="str">
        <f>VLOOKUP(B17,Meta.Features!$A:$L,$G$1,FALSE)</f>
        <v>FALSE</v>
      </c>
      <c r="H17" s="3" t="s">
        <v>2400</v>
      </c>
      <c r="I17" s="3" t="s">
        <v>2420</v>
      </c>
      <c r="J17" s="3" t="s">
        <v>1570</v>
      </c>
      <c r="K17" s="1"/>
      <c r="L17" s="1"/>
      <c r="M17" s="1"/>
      <c r="N17" s="1"/>
      <c r="O17" s="1"/>
      <c r="P17" s="1"/>
      <c r="Q17" s="1"/>
      <c r="R17" s="1"/>
    </row>
    <row r="18" spans="1:18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26" t="str">
        <f>VLOOKUP(B18,Meta.Features!$A:$L,$G$1,FALSE)</f>
        <v>FALSE</v>
      </c>
      <c r="H18" s="3" t="s">
        <v>2400</v>
      </c>
      <c r="I18" s="3" t="s">
        <v>2420</v>
      </c>
      <c r="J18" s="3" t="s">
        <v>2506</v>
      </c>
      <c r="K18" s="1"/>
      <c r="L18" s="1"/>
      <c r="M18" s="1"/>
      <c r="N18" s="1"/>
      <c r="O18" s="1"/>
      <c r="P18" s="1"/>
      <c r="Q18" s="1"/>
      <c r="R18" s="1"/>
    </row>
    <row r="19" spans="1:18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26" t="str">
        <f>VLOOKUP(B19,Meta.Features!$A:$L,$G$1,FALSE)</f>
        <v>FALSE</v>
      </c>
      <c r="H19" s="3" t="s">
        <v>1570</v>
      </c>
      <c r="I19" s="3" t="s">
        <v>2420</v>
      </c>
      <c r="J19" s="3" t="s">
        <v>1570</v>
      </c>
      <c r="K19" s="1"/>
      <c r="L19" s="1"/>
      <c r="M19" s="1"/>
      <c r="N19" s="1"/>
      <c r="O19" s="1"/>
      <c r="P19" s="1"/>
      <c r="Q19" s="1"/>
      <c r="R19" s="1"/>
    </row>
    <row r="20" spans="1:18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26" t="str">
        <f>VLOOKUP(B20,Meta.Features!$A:$L,$G$1,FALSE)</f>
        <v>FALSE</v>
      </c>
      <c r="H20" s="3" t="s">
        <v>1570</v>
      </c>
      <c r="I20" s="3" t="s">
        <v>2420</v>
      </c>
      <c r="J20" s="3" t="s">
        <v>1570</v>
      </c>
      <c r="K20" s="1"/>
      <c r="L20" s="1"/>
      <c r="M20" s="1"/>
      <c r="N20" s="1"/>
      <c r="O20" s="1"/>
      <c r="P20" s="1"/>
      <c r="Q20" s="1"/>
      <c r="R20" s="1"/>
    </row>
    <row r="21" spans="1:18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26" t="str">
        <f>VLOOKUP(B21,Meta.Features!$A:$L,$G$1,FALSE)</f>
        <v>FALSE</v>
      </c>
      <c r="H21" s="3" t="s">
        <v>1570</v>
      </c>
      <c r="I21" s="3" t="s">
        <v>2420</v>
      </c>
      <c r="J21" s="3" t="s">
        <v>1570</v>
      </c>
      <c r="K21" s="1"/>
      <c r="L21" s="1"/>
      <c r="M21" s="1"/>
      <c r="N21" s="1"/>
      <c r="O21" s="1"/>
      <c r="P21" s="1"/>
      <c r="Q21" s="1"/>
      <c r="R21" s="1"/>
    </row>
    <row r="22" spans="1:18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26" t="str">
        <f>VLOOKUP(B22,Meta.Features!$A:$L,$G$1,FALSE)</f>
        <v>FALSE</v>
      </c>
      <c r="H22" s="3" t="s">
        <v>1570</v>
      </c>
      <c r="I22" s="3" t="s">
        <v>2420</v>
      </c>
      <c r="J22" s="3" t="s">
        <v>1570</v>
      </c>
      <c r="K22" s="1"/>
      <c r="L22" s="1"/>
      <c r="M22" s="1"/>
      <c r="N22" s="1"/>
      <c r="O22" s="1"/>
      <c r="P22" s="1"/>
      <c r="Q22" s="1"/>
      <c r="R22" s="1"/>
    </row>
    <row r="23" spans="1:18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26" t="str">
        <f>VLOOKUP(B23,Meta.Features!$A:$L,$G$1,FALSE)</f>
        <v>TRUE</v>
      </c>
      <c r="H23" s="3" t="s">
        <v>1570</v>
      </c>
      <c r="I23" s="3" t="s">
        <v>2420</v>
      </c>
      <c r="J23" s="3" t="s">
        <v>1570</v>
      </c>
      <c r="K23" s="1"/>
      <c r="L23" s="1"/>
      <c r="M23" s="1"/>
      <c r="N23" s="1"/>
      <c r="O23" s="1"/>
      <c r="P23" s="1"/>
      <c r="Q23" s="1"/>
      <c r="R23" s="1"/>
    </row>
    <row r="24" spans="1:18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26" t="str">
        <f>VLOOKUP(B24,Meta.Features!$A:$L,$G$1,FALSE)</f>
        <v>TRUE</v>
      </c>
      <c r="H24" s="3" t="s">
        <v>1570</v>
      </c>
      <c r="I24" s="3" t="s">
        <v>2420</v>
      </c>
      <c r="J24" s="3" t="s">
        <v>1570</v>
      </c>
      <c r="K24" s="1"/>
      <c r="L24" s="1"/>
      <c r="M24" s="1"/>
      <c r="N24" s="1"/>
      <c r="O24" s="1"/>
      <c r="P24" s="1"/>
      <c r="Q24" s="1"/>
      <c r="R24" s="1"/>
    </row>
    <row r="25" spans="1:18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26" t="str">
        <f>VLOOKUP(B25,Meta.Features!$A:$L,$G$1,FALSE)</f>
        <v>FALSE</v>
      </c>
      <c r="H25" s="3" t="s">
        <v>2400</v>
      </c>
      <c r="I25" s="3" t="s">
        <v>2420</v>
      </c>
      <c r="J25" s="3" t="s">
        <v>1570</v>
      </c>
      <c r="K25" s="1"/>
      <c r="L25" s="1"/>
      <c r="M25" s="1"/>
      <c r="N25" s="1"/>
      <c r="O25" s="1"/>
      <c r="P25" s="1"/>
      <c r="Q25" s="1"/>
      <c r="R25" s="1"/>
    </row>
    <row r="26" spans="1:18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26" t="str">
        <f>VLOOKUP(B26,Meta.Features!$A:$L,$G$1,FALSE)</f>
        <v>FALSE</v>
      </c>
      <c r="H26" s="3" t="s">
        <v>2400</v>
      </c>
      <c r="I26" s="3" t="s">
        <v>2420</v>
      </c>
      <c r="J26" s="3" t="s">
        <v>1570</v>
      </c>
      <c r="K26" s="1"/>
      <c r="L26" s="1"/>
      <c r="M26" s="1"/>
      <c r="N26" s="1"/>
      <c r="O26" s="1"/>
      <c r="P26" s="1"/>
      <c r="Q26" s="1"/>
      <c r="R26" s="1"/>
    </row>
    <row r="27" spans="1:18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26" t="str">
        <f>VLOOKUP(B27,Meta.Features!$A:$L,$G$1,FALSE)</f>
        <v>FALSE</v>
      </c>
      <c r="H27" s="3" t="s">
        <v>2400</v>
      </c>
      <c r="I27" s="3" t="s">
        <v>2420</v>
      </c>
      <c r="J27" s="3" t="s">
        <v>1570</v>
      </c>
      <c r="K27" s="1"/>
      <c r="L27" s="1"/>
      <c r="M27" s="1"/>
      <c r="N27" s="1"/>
      <c r="O27" s="1"/>
      <c r="P27" s="1"/>
      <c r="Q27" s="1"/>
      <c r="R27" s="1"/>
    </row>
    <row r="28" spans="1:18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26" t="str">
        <f>VLOOKUP(B28,Meta.Features!$A:$L,$G$1,FALSE)</f>
        <v>FALSE</v>
      </c>
      <c r="H28" s="3" t="s">
        <v>1570</v>
      </c>
      <c r="I28" s="3" t="s">
        <v>2420</v>
      </c>
      <c r="J28" s="3" t="s">
        <v>2506</v>
      </c>
      <c r="K28" s="1"/>
      <c r="L28" s="1"/>
      <c r="M28" s="1"/>
      <c r="N28" s="1"/>
      <c r="O28" s="1"/>
      <c r="P28" s="1"/>
      <c r="Q28" s="1"/>
      <c r="R28" s="1"/>
    </row>
    <row r="29" spans="1:18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26" t="str">
        <f>VLOOKUP(B29,Meta.Features!$A:$L,$G$1,FALSE)</f>
        <v>TRUE</v>
      </c>
      <c r="H29" s="3" t="s">
        <v>1569</v>
      </c>
      <c r="I29" s="3" t="s">
        <v>2420</v>
      </c>
      <c r="J29" s="3" t="s">
        <v>1570</v>
      </c>
      <c r="K29" s="1"/>
      <c r="L29" s="1"/>
      <c r="M29" s="1"/>
      <c r="N29" s="1"/>
      <c r="O29" s="1"/>
      <c r="P29" s="1"/>
      <c r="Q29" s="1"/>
      <c r="R29" s="1"/>
    </row>
    <row r="30" spans="1:18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26" t="str">
        <f>VLOOKUP(B30,Meta.Features!$A:$L,$G$1,FALSE)</f>
        <v>TRUE</v>
      </c>
      <c r="H30" s="3" t="s">
        <v>1569</v>
      </c>
      <c r="I30" s="3" t="s">
        <v>2420</v>
      </c>
      <c r="J30" s="3" t="s">
        <v>1570</v>
      </c>
      <c r="K30" s="1"/>
      <c r="L30" s="1"/>
      <c r="M30" s="1"/>
      <c r="N30" s="1"/>
      <c r="O30" s="1"/>
      <c r="P30" s="1"/>
      <c r="Q30" s="1"/>
      <c r="R30" s="1"/>
    </row>
    <row r="31" spans="1:18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26" t="str">
        <f>VLOOKUP(B31,Meta.Features!$A:$L,$G$1,FALSE)</f>
        <v>FALSE</v>
      </c>
      <c r="H31" s="3" t="s">
        <v>1570</v>
      </c>
      <c r="I31" s="3" t="s">
        <v>2420</v>
      </c>
      <c r="J31" s="3" t="s">
        <v>2506</v>
      </c>
      <c r="K31" s="1"/>
      <c r="L31" s="1"/>
      <c r="M31" s="1"/>
      <c r="N31" s="1"/>
      <c r="O31" s="1"/>
      <c r="P31" s="1"/>
      <c r="Q31" s="1"/>
      <c r="R31" s="1"/>
    </row>
    <row r="32" spans="1:18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26" t="str">
        <f>VLOOKUP(B32,Meta.Features!$A:$L,$G$1,FALSE)</f>
        <v>TRUE</v>
      </c>
      <c r="H32" s="3" t="s">
        <v>1569</v>
      </c>
      <c r="I32" s="3" t="s">
        <v>2420</v>
      </c>
      <c r="J32" s="3" t="s">
        <v>1570</v>
      </c>
      <c r="K32" s="1"/>
      <c r="L32" s="1"/>
      <c r="M32" s="1"/>
      <c r="N32" s="1"/>
      <c r="O32" s="1"/>
      <c r="P32" s="1"/>
      <c r="Q32" s="1"/>
      <c r="R32" s="1"/>
    </row>
    <row r="33" spans="1:18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26" t="str">
        <f>VLOOKUP(B33,Meta.Features!$A:$L,$G$1,FALSE)</f>
        <v>TRUE</v>
      </c>
      <c r="H33" s="3" t="s">
        <v>1569</v>
      </c>
      <c r="I33" s="3" t="s">
        <v>2420</v>
      </c>
      <c r="J33" s="3" t="s">
        <v>1570</v>
      </c>
      <c r="K33" s="1"/>
      <c r="L33" s="1"/>
      <c r="M33" s="1"/>
      <c r="N33" s="1"/>
      <c r="O33" s="1"/>
      <c r="P33" s="1"/>
      <c r="Q33" s="1"/>
      <c r="R33" s="1"/>
    </row>
    <row r="34" spans="1:18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26" t="str">
        <f>VLOOKUP(B34,Meta.Features!$A:$L,$G$1,FALSE)</f>
        <v>FALSE</v>
      </c>
      <c r="H34" s="3" t="s">
        <v>1570</v>
      </c>
      <c r="I34" s="3" t="s">
        <v>2420</v>
      </c>
      <c r="J34" s="3" t="s">
        <v>1570</v>
      </c>
      <c r="K34" s="1"/>
      <c r="L34" s="1"/>
      <c r="M34" s="1"/>
      <c r="N34" s="1"/>
      <c r="O34" s="1"/>
      <c r="P34" s="1"/>
      <c r="Q34" s="1"/>
      <c r="R34" s="1"/>
    </row>
    <row r="35" spans="1:18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26" t="str">
        <f>VLOOKUP(B35,Meta.Features!$A:$L,$G$1,FALSE)</f>
        <v>FALSE</v>
      </c>
      <c r="H35" s="3" t="s">
        <v>2400</v>
      </c>
      <c r="I35" s="3" t="s">
        <v>2420</v>
      </c>
      <c r="J35" s="3" t="s">
        <v>1570</v>
      </c>
      <c r="K35" s="1"/>
      <c r="L35" s="1"/>
      <c r="M35" s="1"/>
      <c r="N35" s="1"/>
      <c r="O35" s="1"/>
      <c r="P35" s="1"/>
      <c r="Q35" s="1"/>
      <c r="R35" s="1"/>
    </row>
    <row r="36" spans="1:18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26" t="str">
        <f>VLOOKUP(B36,Meta.Features!$A:$L,$G$1,FALSE)</f>
        <v>FALSE</v>
      </c>
      <c r="H36" s="3" t="s">
        <v>2400</v>
      </c>
      <c r="I36" s="3" t="s">
        <v>2420</v>
      </c>
      <c r="J36" s="3" t="s">
        <v>1570</v>
      </c>
      <c r="K36" s="1"/>
      <c r="L36" s="1"/>
      <c r="M36" s="1"/>
      <c r="N36" s="1"/>
      <c r="O36" s="1"/>
      <c r="P36" s="1"/>
      <c r="Q36" s="1"/>
      <c r="R36" s="1"/>
    </row>
    <row r="37" spans="1:18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26" t="str">
        <f>VLOOKUP(B37,Meta.Features!$A:$L,$G$1,FALSE)</f>
        <v>FALSE</v>
      </c>
      <c r="H37" s="3" t="s">
        <v>1570</v>
      </c>
      <c r="I37" s="3" t="s">
        <v>2420</v>
      </c>
      <c r="J37" s="3" t="s">
        <v>2506</v>
      </c>
      <c r="K37" s="1"/>
      <c r="L37" s="1"/>
      <c r="M37" s="1"/>
      <c r="N37" s="1"/>
      <c r="O37" s="1"/>
      <c r="P37" s="1"/>
      <c r="Q37" s="1"/>
      <c r="R37" s="1"/>
    </row>
    <row r="38" spans="1:18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26" t="str">
        <f>VLOOKUP(B38,Meta.Features!$A:$L,$G$1,FALSE)</f>
        <v>TRUE</v>
      </c>
      <c r="H38" s="3" t="s">
        <v>2400</v>
      </c>
      <c r="I38" s="3" t="s">
        <v>2420</v>
      </c>
      <c r="J38" s="3" t="s">
        <v>1570</v>
      </c>
      <c r="K38" s="1"/>
      <c r="L38" s="1"/>
      <c r="M38" s="1"/>
      <c r="N38" s="1"/>
      <c r="O38" s="1"/>
      <c r="P38" s="1"/>
      <c r="Q38" s="1"/>
      <c r="R38" s="1"/>
    </row>
    <row r="39" spans="1:18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26" t="str">
        <f>VLOOKUP(B39,Meta.Features!$A:$L,$G$1,FALSE)</f>
        <v>FALSE</v>
      </c>
      <c r="H39" s="3" t="s">
        <v>2400</v>
      </c>
      <c r="I39" s="3" t="s">
        <v>2420</v>
      </c>
      <c r="J39" s="3" t="s">
        <v>1570</v>
      </c>
      <c r="K39" s="1"/>
      <c r="L39" s="1"/>
      <c r="M39" s="1"/>
      <c r="N39" s="1"/>
      <c r="O39" s="1"/>
      <c r="P39" s="1"/>
      <c r="Q39" s="1"/>
      <c r="R39" s="1"/>
    </row>
    <row r="40" spans="1:18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26" t="str">
        <f>VLOOKUP(B40,Meta.Features!$A:$L,$G$1,FALSE)</f>
        <v>FALSE</v>
      </c>
      <c r="H40" s="3" t="s">
        <v>2400</v>
      </c>
      <c r="I40" s="3" t="s">
        <v>2420</v>
      </c>
      <c r="J40" s="3" t="s">
        <v>1570</v>
      </c>
      <c r="K40" s="1"/>
      <c r="L40" s="1"/>
      <c r="M40" s="1"/>
      <c r="N40" s="1"/>
      <c r="O40" s="1"/>
      <c r="P40" s="1"/>
      <c r="Q40" s="1"/>
      <c r="R40" s="1"/>
    </row>
    <row r="41" spans="1:18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26" t="str">
        <f>VLOOKUP(B41,Meta.Features!$A:$L,$G$1,FALSE)</f>
        <v>FALSE</v>
      </c>
      <c r="H41" s="3" t="s">
        <v>2400</v>
      </c>
      <c r="I41" s="3" t="s">
        <v>2420</v>
      </c>
      <c r="J41" s="3" t="s">
        <v>1570</v>
      </c>
      <c r="K41" s="1"/>
      <c r="L41" s="1"/>
      <c r="M41" s="1"/>
      <c r="N41" s="1"/>
      <c r="O41" s="1"/>
      <c r="P41" s="1"/>
      <c r="Q41" s="1"/>
      <c r="R41" s="1"/>
    </row>
    <row r="42" spans="1:18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26" t="str">
        <f>VLOOKUP(B42,Meta.Features!$A:$L,$G$1,FALSE)</f>
        <v>FALSE</v>
      </c>
      <c r="H42" s="3" t="s">
        <v>2400</v>
      </c>
      <c r="I42" s="3" t="s">
        <v>2420</v>
      </c>
      <c r="J42" s="3" t="s">
        <v>2506</v>
      </c>
      <c r="K42" s="1"/>
      <c r="L42" s="1"/>
      <c r="M42" s="1"/>
      <c r="N42" s="1"/>
      <c r="O42" s="1"/>
      <c r="P42" s="1"/>
      <c r="Q42" s="1"/>
      <c r="R42" s="1"/>
    </row>
    <row r="43" spans="1:18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26" t="str">
        <f>VLOOKUP(B43,Meta.Features!$A:$L,$G$1,FALSE)</f>
        <v>FALSE</v>
      </c>
      <c r="H43" s="3" t="s">
        <v>1570</v>
      </c>
      <c r="I43" s="3" t="s">
        <v>2420</v>
      </c>
      <c r="J43" s="3" t="s">
        <v>1570</v>
      </c>
      <c r="K43" s="1"/>
      <c r="L43" s="1"/>
      <c r="M43" s="1"/>
      <c r="N43" s="1"/>
      <c r="O43" s="1"/>
      <c r="P43" s="1"/>
      <c r="Q43" s="1"/>
      <c r="R43" s="1"/>
    </row>
    <row r="44" spans="1:18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26" t="str">
        <f>VLOOKUP(B44,Meta.Features!$A:$L,$G$1,FALSE)</f>
        <v>FALSE</v>
      </c>
      <c r="H44" s="3" t="s">
        <v>2400</v>
      </c>
      <c r="I44" s="3" t="s">
        <v>2420</v>
      </c>
      <c r="J44" s="3" t="s">
        <v>1570</v>
      </c>
      <c r="K44" s="1"/>
      <c r="L44" s="1"/>
      <c r="M44" s="1"/>
      <c r="N44" s="1"/>
      <c r="O44" s="1"/>
      <c r="P44" s="1"/>
      <c r="Q44" s="1"/>
      <c r="R44" s="1"/>
    </row>
    <row r="45" spans="1:18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26" t="str">
        <f>VLOOKUP(B45,Meta.Features!$A:$L,$G$1,FALSE)</f>
        <v>FALSE</v>
      </c>
      <c r="H45" s="3" t="s">
        <v>1570</v>
      </c>
      <c r="I45" s="3" t="s">
        <v>2420</v>
      </c>
      <c r="J45" s="3" t="s">
        <v>1570</v>
      </c>
      <c r="K45" s="1"/>
      <c r="L45" s="1"/>
      <c r="M45" s="1"/>
      <c r="N45" s="1"/>
      <c r="O45" s="1"/>
      <c r="P45" s="1"/>
      <c r="Q45" s="1"/>
      <c r="R45" s="1"/>
    </row>
    <row r="46" spans="1:18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26" t="str">
        <f>VLOOKUP(B46,Meta.Features!$A:$L,$G$1,FALSE)</f>
        <v>TRUE</v>
      </c>
      <c r="H46" s="3" t="s">
        <v>1570</v>
      </c>
      <c r="I46" s="3" t="s">
        <v>2420</v>
      </c>
      <c r="J46" s="3" t="s">
        <v>1570</v>
      </c>
      <c r="K46" s="1"/>
      <c r="L46" s="1"/>
      <c r="M46" s="1"/>
      <c r="N46" s="1"/>
      <c r="O46" s="1"/>
      <c r="P46" s="1"/>
      <c r="Q46" s="1"/>
      <c r="R46" s="1"/>
    </row>
    <row r="47" spans="1:18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26" t="str">
        <f>VLOOKUP(B47,Meta.Features!$A:$L,$G$1,FALSE)</f>
        <v>FALSE</v>
      </c>
      <c r="H47" s="3" t="s">
        <v>1570</v>
      </c>
      <c r="I47" s="3" t="s">
        <v>2420</v>
      </c>
      <c r="J47" s="3" t="s">
        <v>2507</v>
      </c>
      <c r="K47" s="1"/>
      <c r="L47" s="1"/>
      <c r="M47" s="1"/>
      <c r="N47" s="1"/>
      <c r="O47" s="1"/>
      <c r="P47" s="1"/>
      <c r="Q47" s="1"/>
      <c r="R47" s="1"/>
    </row>
    <row r="48" spans="1:18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26" t="str">
        <f>VLOOKUP(B48,Meta.Features!$A:$L,$G$1,FALSE)</f>
        <v>FALSE</v>
      </c>
      <c r="H48" s="3" t="s">
        <v>1570</v>
      </c>
      <c r="I48" s="3" t="s">
        <v>2420</v>
      </c>
      <c r="J48" s="3" t="s">
        <v>2507</v>
      </c>
      <c r="K48" s="1"/>
      <c r="L48" s="1"/>
      <c r="M48" s="1"/>
      <c r="N48" s="1"/>
      <c r="O48" s="1"/>
      <c r="P48" s="1"/>
      <c r="Q48" s="1"/>
      <c r="R48" s="1"/>
    </row>
    <row r="49" spans="1:18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26" t="str">
        <f>VLOOKUP(B49,Meta.Features!$A:$L,$G$1,FALSE)</f>
        <v>FALSE</v>
      </c>
      <c r="H49" s="3" t="s">
        <v>1570</v>
      </c>
      <c r="I49" s="3" t="s">
        <v>2420</v>
      </c>
      <c r="J49" s="3" t="s">
        <v>2507</v>
      </c>
      <c r="K49" s="1"/>
      <c r="L49" s="1"/>
      <c r="M49" s="1"/>
      <c r="N49" s="1"/>
      <c r="O49" s="1"/>
      <c r="P49" s="1"/>
      <c r="Q49" s="1"/>
      <c r="R49" s="1"/>
    </row>
    <row r="50" spans="1:18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26" t="str">
        <f>VLOOKUP(B50,Meta.Features!$A:$L,$G$1,FALSE)</f>
        <v>FALSE</v>
      </c>
      <c r="H50" s="3" t="s">
        <v>1570</v>
      </c>
      <c r="I50" s="3" t="s">
        <v>2420</v>
      </c>
      <c r="J50" s="3" t="s">
        <v>2507</v>
      </c>
      <c r="K50" s="1"/>
      <c r="L50" s="1"/>
      <c r="M50" s="1"/>
      <c r="N50" s="1"/>
      <c r="O50" s="1"/>
      <c r="P50" s="1"/>
      <c r="Q50" s="1"/>
      <c r="R50" s="1"/>
    </row>
    <row r="51" spans="1:18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26" t="str">
        <f>VLOOKUP(B51,Meta.Features!$A:$L,$G$1,FALSE)</f>
        <v>FALSE</v>
      </c>
      <c r="H51" s="3" t="s">
        <v>2400</v>
      </c>
      <c r="I51" s="3" t="s">
        <v>2420</v>
      </c>
      <c r="J51" s="3" t="s">
        <v>1570</v>
      </c>
      <c r="K51" s="1"/>
      <c r="L51" s="1"/>
      <c r="M51" s="1"/>
      <c r="N51" s="1"/>
      <c r="O51" s="1"/>
      <c r="P51" s="1"/>
      <c r="Q51" s="1"/>
      <c r="R51" s="1"/>
    </row>
    <row r="52" spans="1:18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26" t="str">
        <f>VLOOKUP(B52,Meta.Features!$A:$L,$G$1,FALSE)</f>
        <v>FALSE</v>
      </c>
      <c r="H52" s="3" t="s">
        <v>2400</v>
      </c>
      <c r="I52" s="3" t="s">
        <v>2420</v>
      </c>
      <c r="J52" s="3" t="s">
        <v>1570</v>
      </c>
      <c r="K52" s="1"/>
      <c r="L52" s="1"/>
      <c r="M52" s="1"/>
      <c r="N52" s="1"/>
      <c r="O52" s="1"/>
      <c r="P52" s="1"/>
      <c r="Q52" s="1"/>
      <c r="R52" s="1"/>
    </row>
    <row r="53" spans="1:18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26" t="str">
        <f>VLOOKUP(B53,Meta.Features!$A:$L,$G$1,FALSE)</f>
        <v>FALSE</v>
      </c>
      <c r="H53" s="3" t="s">
        <v>2400</v>
      </c>
      <c r="I53" s="3" t="s">
        <v>2420</v>
      </c>
      <c r="J53" s="3" t="s">
        <v>1570</v>
      </c>
      <c r="K53" s="1"/>
      <c r="L53" s="1"/>
      <c r="M53" s="1"/>
      <c r="N53" s="1"/>
      <c r="O53" s="1"/>
      <c r="P53" s="1"/>
      <c r="Q53" s="1"/>
      <c r="R53" s="1"/>
    </row>
    <row r="54" spans="1:18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26" t="str">
        <f>VLOOKUP(B54,Meta.Features!$A:$L,$G$1,FALSE)</f>
        <v>FALSE</v>
      </c>
      <c r="H54" s="3" t="s">
        <v>2400</v>
      </c>
      <c r="I54" s="3" t="s">
        <v>2420</v>
      </c>
      <c r="J54" s="3" t="s">
        <v>2506</v>
      </c>
      <c r="K54" s="1"/>
      <c r="L54" s="1"/>
      <c r="M54" s="1"/>
      <c r="N54" s="1"/>
      <c r="O54" s="1"/>
      <c r="P54" s="1"/>
      <c r="Q54" s="1"/>
      <c r="R54" s="1"/>
    </row>
    <row r="55" spans="1:18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26" t="str">
        <f>VLOOKUP(B55,Meta.Features!$A:$L,$G$1,FALSE)</f>
        <v>FALSE</v>
      </c>
      <c r="H55" s="3" t="s">
        <v>1570</v>
      </c>
      <c r="I55" s="3" t="s">
        <v>2420</v>
      </c>
      <c r="J55" s="3" t="s">
        <v>1570</v>
      </c>
      <c r="K55" s="1"/>
      <c r="L55" s="1"/>
      <c r="M55" s="1"/>
      <c r="N55" s="1"/>
      <c r="O55" s="1"/>
      <c r="P55" s="1"/>
      <c r="Q55" s="1"/>
      <c r="R55" s="1"/>
    </row>
    <row r="56" spans="1:18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26" t="str">
        <f>VLOOKUP(B56,Meta.Features!$A:$L,$G$1,FALSE)</f>
        <v>TRUE</v>
      </c>
      <c r="H56" s="3" t="s">
        <v>1570</v>
      </c>
      <c r="I56" s="3" t="s">
        <v>2420</v>
      </c>
      <c r="J56" s="3" t="s">
        <v>1570</v>
      </c>
      <c r="K56" s="1"/>
      <c r="L56" s="1"/>
      <c r="M56" s="1"/>
      <c r="N56" s="1"/>
      <c r="O56" s="1"/>
      <c r="P56" s="1"/>
      <c r="Q56" s="1"/>
      <c r="R56" s="1"/>
    </row>
    <row r="57" spans="1:18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26" t="str">
        <f>VLOOKUP(B57,Meta.Features!$A:$L,$G$1,FALSE)</f>
        <v>FALSE</v>
      </c>
      <c r="H57" s="3" t="s">
        <v>2400</v>
      </c>
      <c r="I57" s="3" t="s">
        <v>2420</v>
      </c>
      <c r="J57" s="3" t="s">
        <v>1570</v>
      </c>
      <c r="K57" s="1"/>
      <c r="L57" s="1"/>
      <c r="M57" s="1"/>
      <c r="N57" s="1"/>
      <c r="O57" s="1"/>
      <c r="P57" s="1"/>
      <c r="Q57" s="1"/>
      <c r="R57" s="1"/>
    </row>
    <row r="58" spans="1:18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26" t="str">
        <f>VLOOKUP(B58,Meta.Features!$A:$L,$G$1,FALSE)</f>
        <v>FALSE</v>
      </c>
      <c r="H58" s="3" t="s">
        <v>2400</v>
      </c>
      <c r="I58" s="3" t="s">
        <v>2420</v>
      </c>
      <c r="J58" s="3" t="s">
        <v>1570</v>
      </c>
      <c r="K58" s="1"/>
      <c r="L58" s="1"/>
      <c r="M58" s="1"/>
      <c r="N58" s="1"/>
      <c r="O58" s="1"/>
      <c r="P58" s="1"/>
      <c r="Q58" s="1"/>
      <c r="R58" s="1"/>
    </row>
    <row r="59" spans="1:18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26" t="str">
        <f>VLOOKUP(B59,Meta.Features!$A:$L,$G$1,FALSE)</f>
        <v>FALSE</v>
      </c>
      <c r="H59" s="3" t="s">
        <v>2400</v>
      </c>
      <c r="I59" s="3" t="s">
        <v>2420</v>
      </c>
      <c r="J59" s="3" t="s">
        <v>1570</v>
      </c>
      <c r="K59" s="1"/>
      <c r="L59" s="1"/>
      <c r="M59" s="1"/>
      <c r="N59" s="1"/>
      <c r="O59" s="1"/>
      <c r="P59" s="1"/>
      <c r="Q59" s="1"/>
      <c r="R59" s="1"/>
    </row>
    <row r="60" spans="1:18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26" t="str">
        <f>VLOOKUP(B60,Meta.Features!$A:$L,$G$1,FALSE)</f>
        <v>FALSE</v>
      </c>
      <c r="H60" s="3" t="s">
        <v>2400</v>
      </c>
      <c r="I60" s="3" t="s">
        <v>2420</v>
      </c>
      <c r="J60" s="3" t="s">
        <v>2508</v>
      </c>
      <c r="K60" s="1"/>
      <c r="L60" s="1"/>
      <c r="M60" s="1"/>
      <c r="N60" s="1"/>
      <c r="O60" s="1"/>
      <c r="P60" s="1"/>
      <c r="Q60" s="1"/>
      <c r="R60" s="1"/>
    </row>
    <row r="61" spans="1:18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26" t="str">
        <f>VLOOKUP(B61,Meta.Features!$A:$L,$G$1,FALSE)</f>
        <v>FALSE</v>
      </c>
      <c r="H61" s="3" t="s">
        <v>2400</v>
      </c>
      <c r="I61" s="3" t="s">
        <v>2420</v>
      </c>
      <c r="J61" s="3" t="s">
        <v>1570</v>
      </c>
      <c r="K61" s="1"/>
      <c r="L61" s="1"/>
      <c r="M61" s="1"/>
      <c r="N61" s="1"/>
      <c r="O61" s="1"/>
      <c r="P61" s="1"/>
      <c r="Q61" s="1"/>
      <c r="R61" s="1"/>
    </row>
    <row r="62" spans="1:18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26" t="str">
        <f>VLOOKUP(B62,Meta.Features!$A:$L,$G$1,FALSE)</f>
        <v>FALSE</v>
      </c>
      <c r="H62" s="3" t="s">
        <v>1570</v>
      </c>
      <c r="I62" s="3" t="s">
        <v>2420</v>
      </c>
      <c r="J62" s="3" t="s">
        <v>1570</v>
      </c>
      <c r="K62" s="1"/>
      <c r="L62" s="1"/>
      <c r="M62" s="1"/>
      <c r="N62" s="1"/>
      <c r="O62" s="1"/>
      <c r="P62" s="1"/>
      <c r="Q62" s="1"/>
      <c r="R62" s="1"/>
    </row>
    <row r="63" spans="1:18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26" t="str">
        <f>VLOOKUP(B63,Meta.Features!$A:$L,$G$1,FALSE)</f>
        <v>FALSE</v>
      </c>
      <c r="H63" s="3" t="s">
        <v>1570</v>
      </c>
      <c r="I63" s="3" t="s">
        <v>2420</v>
      </c>
      <c r="J63" s="3" t="s">
        <v>1570</v>
      </c>
      <c r="K63" s="1"/>
      <c r="L63" s="1"/>
      <c r="M63" s="1"/>
      <c r="N63" s="1"/>
      <c r="O63" s="1"/>
      <c r="P63" s="1"/>
      <c r="Q63" s="1"/>
      <c r="R63" s="1"/>
    </row>
    <row r="64" spans="1:18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26" t="str">
        <f>VLOOKUP(B64,Meta.Features!$A:$L,$G$1,FALSE)</f>
        <v>FALSE</v>
      </c>
      <c r="H64" s="3" t="s">
        <v>1570</v>
      </c>
      <c r="I64" s="3" t="s">
        <v>2420</v>
      </c>
      <c r="J64" s="3" t="s">
        <v>1570</v>
      </c>
      <c r="K64" s="1"/>
      <c r="L64" s="1"/>
      <c r="M64" s="1"/>
      <c r="N64" s="1"/>
      <c r="O64" s="1"/>
      <c r="P64" s="1"/>
      <c r="Q64" s="1"/>
      <c r="R64" s="1"/>
    </row>
    <row r="65" spans="1:18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26" t="str">
        <f>VLOOKUP(B65,Meta.Features!$A:$L,$G$1,FALSE)</f>
        <v>FALSE</v>
      </c>
      <c r="H65" s="3" t="s">
        <v>2400</v>
      </c>
      <c r="I65" s="3" t="s">
        <v>2420</v>
      </c>
      <c r="J65" s="3" t="s">
        <v>1570</v>
      </c>
      <c r="K65" s="1"/>
      <c r="L65" s="1"/>
      <c r="M65" s="1"/>
      <c r="N65" s="1"/>
      <c r="O65" s="1"/>
      <c r="P65" s="1"/>
      <c r="Q65" s="1"/>
      <c r="R65" s="1"/>
    </row>
    <row r="66" spans="1:18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26" t="str">
        <f>VLOOKUP(B66,Meta.Features!$A:$L,$G$1,FALSE)</f>
        <v>FALSE</v>
      </c>
      <c r="H66" s="3" t="s">
        <v>2400</v>
      </c>
      <c r="I66" s="3" t="s">
        <v>2420</v>
      </c>
      <c r="J66" s="3" t="s">
        <v>1570</v>
      </c>
      <c r="K66" s="1"/>
      <c r="L66" s="1"/>
      <c r="M66" s="1"/>
      <c r="N66" s="1"/>
      <c r="O66" s="1"/>
      <c r="P66" s="1"/>
      <c r="Q66" s="1"/>
      <c r="R66" s="1"/>
    </row>
    <row r="67" spans="1:18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26" t="str">
        <f>VLOOKUP(B67,Meta.Features!$A:$L,$G$1,FALSE)</f>
        <v>FALSE</v>
      </c>
      <c r="H67" s="3" t="s">
        <v>1570</v>
      </c>
      <c r="I67" s="3" t="s">
        <v>2420</v>
      </c>
      <c r="J67" s="3" t="s">
        <v>1570</v>
      </c>
      <c r="K67" s="1"/>
      <c r="L67" s="1"/>
      <c r="M67" s="1"/>
      <c r="N67" s="1"/>
      <c r="O67" s="1"/>
      <c r="P67" s="1"/>
      <c r="Q67" s="1"/>
      <c r="R67" s="1"/>
    </row>
    <row r="68" spans="1:18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26" t="str">
        <f>VLOOKUP(B68,Meta.Features!$A:$L,$G$1,FALSE)</f>
        <v>FALSE</v>
      </c>
      <c r="H68" s="3" t="s">
        <v>2400</v>
      </c>
      <c r="I68" s="3" t="s">
        <v>2420</v>
      </c>
      <c r="J68" s="3" t="s">
        <v>2506</v>
      </c>
      <c r="K68" s="1"/>
      <c r="L68" s="1"/>
      <c r="M68" s="1"/>
      <c r="N68" s="1"/>
      <c r="O68" s="1"/>
      <c r="P68" s="1"/>
      <c r="Q68" s="1"/>
      <c r="R68" s="1"/>
    </row>
    <row r="69" spans="1:18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26" t="str">
        <f>VLOOKUP(B69,Meta.Features!$A:$L,$G$1,FALSE)</f>
        <v>FALSE</v>
      </c>
      <c r="H69" s="3" t="s">
        <v>2400</v>
      </c>
      <c r="I69" s="3" t="s">
        <v>2420</v>
      </c>
      <c r="J69" s="3" t="s">
        <v>1570</v>
      </c>
      <c r="K69" s="1"/>
      <c r="L69" s="1"/>
      <c r="M69" s="1"/>
      <c r="N69" s="1"/>
      <c r="O69" s="1"/>
      <c r="P69" s="1"/>
      <c r="Q69" s="1"/>
      <c r="R69" s="1"/>
    </row>
    <row r="70" spans="1:18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26" t="str">
        <f>VLOOKUP(B70,Meta.Features!$A:$L,$G$1,FALSE)</f>
        <v>FALSE</v>
      </c>
      <c r="H70" s="3" t="s">
        <v>2400</v>
      </c>
      <c r="I70" s="3" t="s">
        <v>2420</v>
      </c>
      <c r="J70" s="3" t="s">
        <v>1570</v>
      </c>
      <c r="K70" s="1"/>
      <c r="L70" s="1"/>
      <c r="M70" s="1"/>
      <c r="N70" s="1"/>
      <c r="O70" s="1"/>
      <c r="P70" s="1"/>
      <c r="Q70" s="1"/>
      <c r="R70" s="1"/>
    </row>
    <row r="71" spans="1:18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26" t="str">
        <f>VLOOKUP(B71,Meta.Features!$A:$L,$G$1,FALSE)</f>
        <v>FALSE</v>
      </c>
      <c r="H71" s="3" t="s">
        <v>1570</v>
      </c>
      <c r="I71" s="3" t="s">
        <v>2420</v>
      </c>
      <c r="J71" s="3" t="s">
        <v>1570</v>
      </c>
      <c r="K71" s="1"/>
      <c r="L71" s="1"/>
      <c r="M71" s="1"/>
      <c r="N71" s="1"/>
      <c r="O71" s="1"/>
      <c r="P71" s="1"/>
      <c r="Q71" s="1"/>
      <c r="R71" s="1"/>
    </row>
    <row r="72" spans="1:18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26" t="str">
        <f>VLOOKUP(B72,Meta.Features!$A:$L,$G$1,FALSE)</f>
        <v>FALSE</v>
      </c>
      <c r="H72" s="3" t="s">
        <v>1570</v>
      </c>
      <c r="I72" s="3" t="s">
        <v>2420</v>
      </c>
      <c r="J72" s="3" t="s">
        <v>1570</v>
      </c>
      <c r="K72" s="1"/>
      <c r="L72" s="1"/>
      <c r="M72" s="1"/>
      <c r="N72" s="1"/>
      <c r="O72" s="1"/>
      <c r="P72" s="1"/>
      <c r="Q72" s="1"/>
      <c r="R72" s="1"/>
    </row>
    <row r="73" spans="1:18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26" t="str">
        <f>VLOOKUP(B73,Meta.Features!$A:$L,$G$1,FALSE)</f>
        <v>FALSE</v>
      </c>
      <c r="H73" s="3" t="s">
        <v>2400</v>
      </c>
      <c r="I73" s="3" t="s">
        <v>2420</v>
      </c>
      <c r="J73" s="3" t="s">
        <v>2509</v>
      </c>
      <c r="K73" s="1"/>
      <c r="L73" s="1"/>
      <c r="M73" s="1"/>
      <c r="N73" s="1"/>
      <c r="O73" s="1"/>
      <c r="P73" s="1"/>
      <c r="Q73" s="1"/>
      <c r="R73" s="1"/>
    </row>
    <row r="74" spans="1:18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26" t="str">
        <f>VLOOKUP(B74,Meta.Features!$A:$L,$G$1,FALSE)</f>
        <v>TRUE</v>
      </c>
      <c r="H74" s="3" t="s">
        <v>1570</v>
      </c>
      <c r="I74" s="3" t="s">
        <v>2420</v>
      </c>
      <c r="J74" s="3" t="s">
        <v>1570</v>
      </c>
      <c r="K74" s="1"/>
      <c r="L74" s="1"/>
      <c r="M74" s="1"/>
      <c r="N74" s="1"/>
      <c r="O74" s="1"/>
      <c r="P74" s="1"/>
      <c r="Q74" s="1"/>
      <c r="R74" s="1"/>
    </row>
    <row r="75" spans="1:18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26" t="str">
        <f>VLOOKUP(B75,Meta.Features!$A:$L,$G$1,FALSE)</f>
        <v>FALSE</v>
      </c>
      <c r="H75" s="3" t="s">
        <v>2400</v>
      </c>
      <c r="I75" s="3" t="s">
        <v>2420</v>
      </c>
      <c r="J75" s="3" t="s">
        <v>2506</v>
      </c>
      <c r="K75" s="1"/>
      <c r="L75" s="1"/>
      <c r="M75" s="1"/>
      <c r="N75" s="1"/>
      <c r="O75" s="1"/>
      <c r="P75" s="1"/>
      <c r="Q75" s="1"/>
      <c r="R75" s="1"/>
    </row>
    <row r="76" spans="1:18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26" t="str">
        <f>VLOOKUP(B76,Meta.Features!$A:$L,$G$1,FALSE)</f>
        <v>TRUE</v>
      </c>
      <c r="H76" s="3" t="s">
        <v>2400</v>
      </c>
      <c r="I76" s="3" t="s">
        <v>2420</v>
      </c>
      <c r="J76" s="3" t="s">
        <v>1570</v>
      </c>
      <c r="K76" s="1"/>
      <c r="L76" s="1"/>
      <c r="M76" s="1"/>
      <c r="N76" s="1"/>
      <c r="O76" s="1"/>
      <c r="P76" s="1"/>
      <c r="Q76" s="1"/>
      <c r="R76" s="1"/>
    </row>
    <row r="77" spans="1:18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26" t="str">
        <f>VLOOKUP(B77,Meta.Features!$A:$L,$G$1,FALSE)</f>
        <v>FALSE</v>
      </c>
      <c r="H77" s="3" t="s">
        <v>1570</v>
      </c>
      <c r="I77" s="3" t="s">
        <v>2420</v>
      </c>
      <c r="J77" s="3" t="s">
        <v>1570</v>
      </c>
      <c r="K77" s="1"/>
      <c r="L77" s="1"/>
      <c r="M77" s="1"/>
      <c r="N77" s="1"/>
      <c r="O77" s="1"/>
      <c r="P77" s="1"/>
      <c r="Q77" s="1"/>
      <c r="R77" s="1"/>
    </row>
    <row r="78" spans="1:18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26" t="str">
        <f>VLOOKUP(B78,Meta.Features!$A:$L,$G$1,FALSE)</f>
        <v>FALSE</v>
      </c>
      <c r="H78" s="3" t="s">
        <v>1570</v>
      </c>
      <c r="I78" s="3" t="s">
        <v>2420</v>
      </c>
      <c r="J78" s="3" t="s">
        <v>1570</v>
      </c>
      <c r="K78" s="1"/>
      <c r="L78" s="1"/>
      <c r="M78" s="1"/>
      <c r="N78" s="1"/>
      <c r="O78" s="1"/>
      <c r="P78" s="1"/>
      <c r="Q78" s="1"/>
      <c r="R78" s="1"/>
    </row>
    <row r="79" spans="1:18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26" t="str">
        <f>VLOOKUP(B79,Meta.Features!$A:$L,$G$1,FALSE)</f>
        <v>FALSE</v>
      </c>
      <c r="H79" s="3" t="s">
        <v>2400</v>
      </c>
      <c r="I79" s="3" t="s">
        <v>2420</v>
      </c>
      <c r="J79" s="3" t="s">
        <v>1570</v>
      </c>
      <c r="K79" s="1"/>
      <c r="L79" s="1"/>
      <c r="M79" s="1"/>
      <c r="N79" s="1"/>
      <c r="O79" s="1"/>
      <c r="P79" s="1"/>
      <c r="Q79" s="1"/>
      <c r="R79" s="1"/>
    </row>
    <row r="80" spans="1:18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26" t="str">
        <f>VLOOKUP(B80,Meta.Features!$A:$L,$G$1,FALSE)</f>
        <v>FALSE</v>
      </c>
      <c r="H80" s="3" t="s">
        <v>2400</v>
      </c>
      <c r="I80" s="3" t="s">
        <v>2420</v>
      </c>
      <c r="J80" s="3" t="s">
        <v>1570</v>
      </c>
      <c r="K80" s="1"/>
      <c r="L80" s="1"/>
      <c r="M80" s="1"/>
      <c r="N80" s="1"/>
      <c r="O80" s="1"/>
      <c r="P80" s="1"/>
      <c r="Q80" s="1"/>
      <c r="R80" s="1"/>
    </row>
    <row r="81" spans="1:18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26" t="str">
        <f>VLOOKUP(B81,Meta.Features!$A:$L,$G$1,FALSE)</f>
        <v>FALSE</v>
      </c>
      <c r="H81" s="3" t="s">
        <v>2400</v>
      </c>
      <c r="I81" s="3" t="s">
        <v>2420</v>
      </c>
      <c r="J81" s="3" t="s">
        <v>1570</v>
      </c>
      <c r="K81" s="1"/>
      <c r="L81" s="1"/>
      <c r="M81" s="1"/>
      <c r="N81" s="1"/>
      <c r="O81" s="1"/>
      <c r="P81" s="1"/>
      <c r="Q81" s="1"/>
      <c r="R81" s="1"/>
    </row>
    <row r="82" spans="1:18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26" t="str">
        <f>VLOOKUP(B82,Meta.Features!$A:$L,$G$1,FALSE)</f>
        <v>TRUE</v>
      </c>
      <c r="H82" s="3" t="s">
        <v>1570</v>
      </c>
      <c r="I82" s="3" t="s">
        <v>2420</v>
      </c>
      <c r="J82" s="3" t="s">
        <v>1570</v>
      </c>
      <c r="K82" s="1"/>
      <c r="L82" s="1"/>
      <c r="M82" s="1"/>
      <c r="N82" s="1"/>
      <c r="O82" s="1"/>
      <c r="P82" s="1"/>
      <c r="Q82" s="1"/>
      <c r="R82" s="1"/>
    </row>
    <row r="83" spans="1:18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26" t="str">
        <f>VLOOKUP(B83,Meta.Features!$A:$L,$G$1,FALSE)</f>
        <v>TRUE</v>
      </c>
      <c r="H83" s="3" t="s">
        <v>1570</v>
      </c>
      <c r="I83" s="3" t="s">
        <v>2420</v>
      </c>
      <c r="J83" s="3" t="s">
        <v>1570</v>
      </c>
      <c r="K83" s="1"/>
      <c r="L83" s="1"/>
      <c r="M83" s="1"/>
      <c r="N83" s="1"/>
      <c r="O83" s="1"/>
      <c r="P83" s="1"/>
      <c r="Q83" s="1"/>
      <c r="R83" s="1"/>
    </row>
    <row r="84" spans="1:18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26" t="str">
        <f>VLOOKUP(B84,Meta.Features!$A:$L,$G$1,FALSE)</f>
        <v>FALSE</v>
      </c>
      <c r="H84" s="3" t="s">
        <v>2432</v>
      </c>
      <c r="I84" s="3" t="s">
        <v>2420</v>
      </c>
      <c r="J84" s="3" t="s">
        <v>2506</v>
      </c>
      <c r="K84" s="1"/>
      <c r="L84" s="1"/>
      <c r="M84" s="1"/>
      <c r="N84" s="1"/>
      <c r="O84" s="1"/>
      <c r="P84" s="1"/>
      <c r="Q84" s="1"/>
      <c r="R84" s="1"/>
    </row>
    <row r="85" spans="1:18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26" t="str">
        <f>VLOOKUP(B85,Meta.Features!$A:$L,$G$1,FALSE)</f>
        <v>FALSE</v>
      </c>
      <c r="H85" s="3" t="s">
        <v>2432</v>
      </c>
      <c r="I85" s="3" t="s">
        <v>2420</v>
      </c>
      <c r="J85" s="3" t="s">
        <v>2506</v>
      </c>
      <c r="K85" s="1"/>
      <c r="L85" s="1"/>
      <c r="M85" s="1"/>
      <c r="N85" s="1"/>
      <c r="O85" s="1"/>
      <c r="P85" s="1"/>
      <c r="Q85" s="1"/>
      <c r="R85" s="1"/>
    </row>
    <row r="86" spans="1:18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26" t="str">
        <f>VLOOKUP(B86,Meta.Features!$A:$L,$G$1,FALSE)</f>
        <v>TRUE</v>
      </c>
      <c r="H86" s="3" t="s">
        <v>1570</v>
      </c>
      <c r="I86" s="3" t="s">
        <v>2420</v>
      </c>
      <c r="J86" s="3" t="s">
        <v>1570</v>
      </c>
      <c r="K86" s="1"/>
      <c r="L86" s="1"/>
      <c r="M86" s="1"/>
      <c r="N86" s="1"/>
      <c r="O86" s="1"/>
      <c r="P86" s="1"/>
      <c r="Q86" s="1"/>
      <c r="R86" s="1"/>
    </row>
    <row r="87" spans="1:18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26" t="str">
        <f>VLOOKUP(B87,Meta.Features!$A:$L,$G$1,FALSE)</f>
        <v>TRUE</v>
      </c>
      <c r="H87" s="3" t="s">
        <v>1570</v>
      </c>
      <c r="I87" s="3" t="s">
        <v>2420</v>
      </c>
      <c r="J87" s="3" t="s">
        <v>1570</v>
      </c>
      <c r="K87" s="1"/>
      <c r="L87" s="1"/>
      <c r="M87" s="1"/>
      <c r="N87" s="1"/>
      <c r="O87" s="1"/>
      <c r="P87" s="1"/>
      <c r="Q87" s="1"/>
      <c r="R87" s="1"/>
    </row>
    <row r="88" spans="1:18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26" t="str">
        <f>VLOOKUP(B88,Meta.Features!$A:$L,$G$1,FALSE)</f>
        <v>TRUE</v>
      </c>
      <c r="H88" s="3" t="s">
        <v>1570</v>
      </c>
      <c r="I88" s="3" t="s">
        <v>2420</v>
      </c>
      <c r="J88" s="3" t="s">
        <v>1570</v>
      </c>
      <c r="K88" s="1"/>
      <c r="L88" s="1"/>
      <c r="M88" s="1"/>
      <c r="N88" s="1"/>
      <c r="O88" s="1"/>
      <c r="P88" s="1"/>
      <c r="Q88" s="1"/>
      <c r="R88" s="1"/>
    </row>
    <row r="89" spans="1:18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26" t="str">
        <f>VLOOKUP(B89,Meta.Features!$A:$L,$G$1,FALSE)</f>
        <v>FALSE</v>
      </c>
      <c r="H89" s="3" t="s">
        <v>1570</v>
      </c>
      <c r="I89" s="3" t="s">
        <v>2420</v>
      </c>
      <c r="J89" s="3" t="s">
        <v>1570</v>
      </c>
      <c r="K89" s="1"/>
      <c r="L89" s="1"/>
      <c r="M89" s="1"/>
      <c r="N89" s="1"/>
      <c r="O89" s="1"/>
      <c r="P89" s="1"/>
      <c r="Q89" s="1"/>
      <c r="R89" s="1"/>
    </row>
    <row r="90" spans="1:18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26" t="str">
        <f>VLOOKUP(B90,Meta.Features!$A:$L,$G$1,FALSE)</f>
        <v>FALSE</v>
      </c>
      <c r="H90" s="3" t="s">
        <v>1570</v>
      </c>
      <c r="I90" s="3" t="s">
        <v>2420</v>
      </c>
      <c r="J90" s="3" t="s">
        <v>2510</v>
      </c>
      <c r="K90" s="1"/>
      <c r="L90" s="1"/>
      <c r="M90" s="1"/>
      <c r="N90" s="1"/>
      <c r="O90" s="1"/>
      <c r="P90" s="1"/>
      <c r="Q90" s="1"/>
      <c r="R90" s="1"/>
    </row>
    <row r="91" spans="1:18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26" t="str">
        <f>VLOOKUP(B91,Meta.Features!$A:$L,$G$1,FALSE)</f>
        <v>TRUE</v>
      </c>
      <c r="H91" s="3" t="s">
        <v>1570</v>
      </c>
      <c r="I91" s="3" t="s">
        <v>2420</v>
      </c>
      <c r="J91" s="3" t="s">
        <v>1570</v>
      </c>
      <c r="K91" s="1"/>
      <c r="L91" s="1"/>
      <c r="M91" s="1"/>
      <c r="N91" s="1"/>
      <c r="O91" s="1"/>
      <c r="P91" s="1"/>
      <c r="Q91" s="1"/>
      <c r="R91" s="1"/>
    </row>
    <row r="92" spans="1:18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26" t="str">
        <f>VLOOKUP(B92,Meta.Features!$A:$L,$G$1,FALSE)</f>
        <v>FALSE</v>
      </c>
      <c r="H92" s="3" t="s">
        <v>1570</v>
      </c>
      <c r="I92" s="3" t="s">
        <v>2420</v>
      </c>
      <c r="J92" s="3" t="s">
        <v>2510</v>
      </c>
      <c r="K92" s="1"/>
      <c r="L92" s="1"/>
      <c r="M92" s="1"/>
      <c r="N92" s="1"/>
      <c r="O92" s="1"/>
      <c r="P92" s="1"/>
      <c r="Q92" s="1"/>
      <c r="R92" s="1"/>
    </row>
    <row r="93" spans="1:18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26" t="str">
        <f>VLOOKUP(B93,Meta.Features!$A:$L,$G$1,FALSE)</f>
        <v>TRUE</v>
      </c>
      <c r="H93" s="3" t="s">
        <v>1570</v>
      </c>
      <c r="I93" s="3" t="s">
        <v>2420</v>
      </c>
      <c r="J93" s="3" t="s">
        <v>1570</v>
      </c>
      <c r="K93" s="1"/>
      <c r="L93" s="1"/>
      <c r="M93" s="1"/>
      <c r="N93" s="1"/>
      <c r="O93" s="1"/>
      <c r="P93" s="1"/>
      <c r="Q93" s="1"/>
      <c r="R93" s="1"/>
    </row>
    <row r="94" spans="1:18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26" t="str">
        <f>VLOOKUP(B94,Meta.Features!$A:$L,$G$1,FALSE)</f>
        <v>TRUE</v>
      </c>
      <c r="H94" s="3" t="s">
        <v>1570</v>
      </c>
      <c r="I94" s="3" t="s">
        <v>2420</v>
      </c>
      <c r="J94" s="3" t="s">
        <v>1570</v>
      </c>
      <c r="K94" s="1"/>
      <c r="L94" s="1"/>
      <c r="M94" s="1"/>
      <c r="N94" s="1"/>
      <c r="O94" s="1"/>
      <c r="P94" s="1"/>
      <c r="Q94" s="1"/>
      <c r="R94" s="1"/>
    </row>
    <row r="95" spans="1:18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26" t="str">
        <f>VLOOKUP(B95,Meta.Features!$A:$L,$G$1,FALSE)</f>
        <v>TRUE</v>
      </c>
      <c r="H95" s="3" t="s">
        <v>1570</v>
      </c>
      <c r="I95" s="3" t="s">
        <v>2420</v>
      </c>
      <c r="J95" s="3" t="s">
        <v>1570</v>
      </c>
      <c r="K95" s="1"/>
      <c r="L95" s="1"/>
      <c r="M95" s="1"/>
      <c r="N95" s="1"/>
      <c r="O95" s="1"/>
      <c r="P95" s="1"/>
      <c r="Q95" s="1"/>
      <c r="R95" s="1"/>
    </row>
    <row r="96" spans="1:18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26" t="str">
        <f>VLOOKUP(B96,Meta.Features!$A:$L,$G$1,FALSE)</f>
        <v>FALSE</v>
      </c>
      <c r="H96" s="3" t="s">
        <v>1570</v>
      </c>
      <c r="I96" s="3" t="s">
        <v>2420</v>
      </c>
      <c r="J96" s="3" t="s">
        <v>1570</v>
      </c>
      <c r="K96" s="1"/>
      <c r="L96" s="1"/>
      <c r="M96" s="1"/>
      <c r="N96" s="1"/>
      <c r="O96" s="1"/>
      <c r="P96" s="1"/>
      <c r="Q96" s="1"/>
      <c r="R96" s="1"/>
    </row>
    <row r="97" spans="1:18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26" t="str">
        <f>VLOOKUP(B97,Meta.Features!$A:$L,$G$1,FALSE)</f>
        <v>FALSE</v>
      </c>
      <c r="H97" s="3" t="s">
        <v>1570</v>
      </c>
      <c r="I97" s="3" t="s">
        <v>2420</v>
      </c>
      <c r="J97" s="3" t="s">
        <v>1570</v>
      </c>
      <c r="K97" s="1"/>
      <c r="L97" s="1"/>
      <c r="M97" s="1"/>
      <c r="N97" s="1"/>
      <c r="O97" s="1"/>
      <c r="P97" s="1"/>
      <c r="Q97" s="1"/>
      <c r="R97" s="1"/>
    </row>
    <row r="98" spans="1:18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26" t="str">
        <f>VLOOKUP(B98,Meta.Features!$A:$L,$G$1,FALSE)</f>
        <v>FALSE</v>
      </c>
      <c r="H98" s="3" t="s">
        <v>1570</v>
      </c>
      <c r="I98" s="3" t="s">
        <v>2420</v>
      </c>
      <c r="J98" s="3" t="s">
        <v>1570</v>
      </c>
      <c r="K98" s="1"/>
      <c r="L98" s="1"/>
      <c r="M98" s="1"/>
      <c r="N98" s="1"/>
      <c r="O98" s="1"/>
      <c r="P98" s="1"/>
      <c r="Q98" s="1"/>
      <c r="R98" s="1"/>
    </row>
    <row r="99" spans="1:18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26" t="str">
        <f>VLOOKUP(B99,Meta.Features!$A:$L,$G$1,FALSE)</f>
        <v>FALSE</v>
      </c>
      <c r="H99" s="3" t="s">
        <v>2400</v>
      </c>
      <c r="I99" s="3" t="s">
        <v>2420</v>
      </c>
      <c r="J99" s="3" t="s">
        <v>1570</v>
      </c>
      <c r="K99" s="1"/>
      <c r="L99" s="1"/>
      <c r="M99" s="1"/>
      <c r="N99" s="1"/>
      <c r="O99" s="1"/>
      <c r="P99" s="1"/>
      <c r="Q99" s="1"/>
      <c r="R99" s="1"/>
    </row>
    <row r="100" spans="1:18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26" t="str">
        <f>VLOOKUP(B100,Meta.Features!$A:$L,$G$1,FALSE)</f>
        <v>FALSE</v>
      </c>
      <c r="H100" s="3" t="s">
        <v>2400</v>
      </c>
      <c r="I100" s="3" t="s">
        <v>2420</v>
      </c>
      <c r="J100" s="3" t="s">
        <v>1570</v>
      </c>
      <c r="K100" s="1"/>
      <c r="L100" s="1"/>
      <c r="M100" s="1"/>
      <c r="N100" s="1"/>
      <c r="O100" s="1"/>
      <c r="P100" s="1"/>
      <c r="Q100" s="1"/>
      <c r="R100" s="1"/>
    </row>
    <row r="101" spans="1:18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26" t="str">
        <f>VLOOKUP(B101,Meta.Features!$A:$L,$G$1,FALSE)</f>
        <v>FALSE</v>
      </c>
      <c r="H101" s="3" t="s">
        <v>2400</v>
      </c>
      <c r="I101" s="3" t="s">
        <v>2420</v>
      </c>
      <c r="J101" s="3" t="s">
        <v>1570</v>
      </c>
      <c r="K101" s="1"/>
      <c r="L101" s="1"/>
      <c r="M101" s="1"/>
      <c r="N101" s="1"/>
      <c r="O101" s="1"/>
      <c r="P101" s="1"/>
      <c r="Q101" s="1"/>
      <c r="R101" s="1"/>
    </row>
    <row r="102" spans="1:18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26" t="str">
        <f>VLOOKUP(B102,Meta.Features!$A:$L,$G$1,FALSE)</f>
        <v>FALSE</v>
      </c>
      <c r="H102" s="3" t="s">
        <v>2400</v>
      </c>
      <c r="I102" s="3" t="s">
        <v>2420</v>
      </c>
      <c r="J102" s="3" t="s">
        <v>2506</v>
      </c>
      <c r="K102" s="1"/>
      <c r="L102" s="1"/>
      <c r="M102" s="1"/>
      <c r="N102" s="1"/>
      <c r="O102" s="1"/>
      <c r="P102" s="1"/>
      <c r="Q102" s="1"/>
      <c r="R102" s="1"/>
    </row>
    <row r="103" spans="1:18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26" t="str">
        <f>VLOOKUP(B103,Meta.Features!$A:$L,$G$1,FALSE)</f>
        <v>TRUE</v>
      </c>
      <c r="H103" s="3" t="s">
        <v>2216</v>
      </c>
      <c r="I103" s="3" t="s">
        <v>2420</v>
      </c>
      <c r="J103" s="3" t="s">
        <v>1570</v>
      </c>
      <c r="K103" s="1"/>
      <c r="L103" s="1"/>
      <c r="M103" s="1"/>
      <c r="N103" s="1"/>
      <c r="O103" s="1"/>
      <c r="P103" s="1"/>
      <c r="Q103" s="1"/>
      <c r="R103" s="1"/>
    </row>
    <row r="104" spans="1:18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26" t="str">
        <f>VLOOKUP(B104,Meta.Features!$A:$L,$G$1,FALSE)</f>
        <v>TRUE</v>
      </c>
      <c r="H104" s="3" t="s">
        <v>2216</v>
      </c>
      <c r="I104" s="3" t="s">
        <v>2420</v>
      </c>
      <c r="J104" s="3" t="s">
        <v>1570</v>
      </c>
      <c r="K104" s="1"/>
      <c r="L104" s="1"/>
      <c r="M104" s="1"/>
      <c r="N104" s="1"/>
      <c r="O104" s="1"/>
      <c r="P104" s="1"/>
      <c r="Q104" s="1"/>
      <c r="R104" s="1"/>
    </row>
    <row r="105" spans="1:18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26" t="str">
        <f>VLOOKUP(B105,Meta.Features!$A:$L,$G$1,FALSE)</f>
        <v>TRUE</v>
      </c>
      <c r="H105" s="3" t="s">
        <v>2400</v>
      </c>
      <c r="I105" s="3" t="s">
        <v>2420</v>
      </c>
      <c r="J105" s="3" t="s">
        <v>1570</v>
      </c>
      <c r="K105" s="1"/>
      <c r="L105" s="1"/>
      <c r="M105" s="1"/>
      <c r="N105" s="1"/>
      <c r="O105" s="1"/>
      <c r="P105" s="1"/>
      <c r="Q105" s="1"/>
      <c r="R105" s="1"/>
    </row>
    <row r="106" spans="1:18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26" t="str">
        <f>VLOOKUP(B106,Meta.Features!$A:$L,$G$1,FALSE)</f>
        <v>TRUE</v>
      </c>
      <c r="H106" s="3" t="s">
        <v>2400</v>
      </c>
      <c r="I106" s="3" t="s">
        <v>2420</v>
      </c>
      <c r="J106" s="3" t="s">
        <v>1570</v>
      </c>
      <c r="K106" s="1"/>
      <c r="L106" s="1"/>
      <c r="M106" s="1"/>
      <c r="N106" s="1"/>
      <c r="O106" s="1"/>
      <c r="P106" s="1"/>
      <c r="Q106" s="1"/>
      <c r="R106" s="1"/>
    </row>
    <row r="107" spans="1:18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26" t="str">
        <f>VLOOKUP(B107,Meta.Features!$A:$L,$G$1,FALSE)</f>
        <v>TRUE</v>
      </c>
      <c r="H107" s="3" t="s">
        <v>1570</v>
      </c>
      <c r="I107" s="3" t="s">
        <v>2420</v>
      </c>
      <c r="J107" s="3" t="s">
        <v>1570</v>
      </c>
      <c r="K107" s="1"/>
      <c r="L107" s="1"/>
      <c r="M107" s="1"/>
      <c r="N107" s="1"/>
      <c r="O107" s="1"/>
      <c r="P107" s="1"/>
      <c r="Q107" s="1"/>
      <c r="R107" s="1"/>
    </row>
    <row r="108" spans="1:18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26" t="str">
        <f>VLOOKUP(B108,Meta.Features!$A:$L,$G$1,FALSE)</f>
        <v>TRUE</v>
      </c>
      <c r="H108" s="3" t="s">
        <v>1570</v>
      </c>
      <c r="I108" s="3" t="s">
        <v>2420</v>
      </c>
      <c r="J108" s="3" t="s">
        <v>1570</v>
      </c>
      <c r="K108" s="1"/>
      <c r="L108" s="1"/>
      <c r="M108" s="1"/>
      <c r="N108" s="1"/>
      <c r="O108" s="1"/>
      <c r="P108" s="1"/>
      <c r="Q108" s="1"/>
      <c r="R108" s="1"/>
    </row>
    <row r="109" spans="1:18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26" t="str">
        <f>VLOOKUP(B109,Meta.Features!$A:$L,$G$1,FALSE)</f>
        <v>TRUE</v>
      </c>
      <c r="H109" s="3" t="s">
        <v>1570</v>
      </c>
      <c r="I109" s="3" t="s">
        <v>2420</v>
      </c>
      <c r="J109" s="3" t="s">
        <v>1570</v>
      </c>
      <c r="K109" s="1"/>
      <c r="L109" s="1"/>
      <c r="M109" s="1"/>
      <c r="N109" s="1"/>
      <c r="O109" s="1"/>
      <c r="P109" s="1"/>
      <c r="Q109" s="1"/>
      <c r="R109" s="1"/>
    </row>
    <row r="110" spans="1:18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26" t="str">
        <f>VLOOKUP(B110,Meta.Features!$A:$L,$G$1,FALSE)</f>
        <v>TRUE</v>
      </c>
      <c r="H110" s="3" t="s">
        <v>1570</v>
      </c>
      <c r="I110" s="3" t="s">
        <v>2420</v>
      </c>
      <c r="J110" s="3" t="s">
        <v>1570</v>
      </c>
      <c r="K110" s="1"/>
      <c r="L110" s="1"/>
      <c r="M110" s="1"/>
      <c r="N110" s="1"/>
      <c r="O110" s="1"/>
      <c r="P110" s="1"/>
      <c r="Q110" s="1"/>
      <c r="R110" s="1"/>
    </row>
    <row r="111" spans="1:18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26" t="str">
        <f>VLOOKUP(B111,Meta.Features!$A:$L,$G$1,FALSE)</f>
        <v>TRUE</v>
      </c>
      <c r="H111" s="3" t="s">
        <v>1570</v>
      </c>
      <c r="I111" s="3" t="s">
        <v>2420</v>
      </c>
      <c r="J111" s="3" t="s">
        <v>1570</v>
      </c>
      <c r="K111" s="1"/>
      <c r="L111" s="1"/>
      <c r="M111" s="1"/>
      <c r="N111" s="1"/>
      <c r="O111" s="1"/>
      <c r="P111" s="1"/>
      <c r="Q111" s="1"/>
      <c r="R111" s="1"/>
    </row>
    <row r="112" spans="1:18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26" t="str">
        <f>VLOOKUP(B112,Meta.Features!$A:$L,$G$1,FALSE)</f>
        <v>TRUE</v>
      </c>
      <c r="H112" s="3" t="s">
        <v>1570</v>
      </c>
      <c r="I112" s="3" t="s">
        <v>2420</v>
      </c>
      <c r="J112" s="3" t="s">
        <v>1570</v>
      </c>
      <c r="K112" s="1"/>
      <c r="L112" s="1"/>
      <c r="M112" s="1"/>
      <c r="N112" s="1"/>
      <c r="O112" s="1"/>
      <c r="P112" s="1"/>
      <c r="Q112" s="1"/>
      <c r="R112" s="1"/>
    </row>
    <row r="113" spans="1:18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26" t="str">
        <f>VLOOKUP(B113,Meta.Features!$A:$L,$G$1,FALSE)</f>
        <v>TRUE</v>
      </c>
      <c r="H113" s="3" t="s">
        <v>1570</v>
      </c>
      <c r="I113" s="3" t="s">
        <v>2420</v>
      </c>
      <c r="J113" s="3" t="s">
        <v>1570</v>
      </c>
      <c r="K113" s="1"/>
      <c r="L113" s="1"/>
      <c r="M113" s="1"/>
      <c r="N113" s="1"/>
      <c r="O113" s="1"/>
      <c r="P113" s="1"/>
      <c r="Q113" s="1"/>
      <c r="R113" s="1"/>
    </row>
    <row r="114" spans="1:18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26" t="str">
        <f>VLOOKUP(B114,Meta.Features!$A:$L,$G$1,FALSE)</f>
        <v>TRUE</v>
      </c>
      <c r="H114" s="3" t="s">
        <v>1570</v>
      </c>
      <c r="I114" s="3" t="s">
        <v>2420</v>
      </c>
      <c r="J114" s="3" t="s">
        <v>1570</v>
      </c>
      <c r="K114" s="1"/>
      <c r="L114" s="1"/>
      <c r="M114" s="1"/>
      <c r="N114" s="1"/>
      <c r="O114" s="1"/>
      <c r="P114" s="1"/>
      <c r="Q114" s="1"/>
      <c r="R114" s="1"/>
    </row>
    <row r="115" spans="1:18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26" t="str">
        <f>VLOOKUP(B115,Meta.Features!$A:$L,$G$1,FALSE)</f>
        <v>TRUE</v>
      </c>
      <c r="H115" s="3" t="s">
        <v>1570</v>
      </c>
      <c r="I115" s="3" t="s">
        <v>2420</v>
      </c>
      <c r="J115" s="3" t="s">
        <v>1570</v>
      </c>
      <c r="K115" s="1"/>
      <c r="L115" s="1"/>
      <c r="M115" s="1"/>
      <c r="N115" s="1"/>
      <c r="O115" s="1"/>
      <c r="P115" s="1"/>
      <c r="Q115" s="1"/>
      <c r="R115" s="1"/>
    </row>
    <row r="116" spans="1:18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26" t="str">
        <f>VLOOKUP(B116,Meta.Features!$A:$L,$G$1,FALSE)</f>
        <v>TRUE</v>
      </c>
      <c r="H116" s="3" t="s">
        <v>1570</v>
      </c>
      <c r="I116" s="3" t="s">
        <v>2420</v>
      </c>
      <c r="J116" s="3" t="s">
        <v>1570</v>
      </c>
      <c r="K116" s="1"/>
      <c r="L116" s="1"/>
      <c r="M116" s="1"/>
      <c r="N116" s="1"/>
      <c r="O116" s="1"/>
      <c r="P116" s="1"/>
      <c r="Q116" s="1"/>
      <c r="R116" s="1"/>
    </row>
    <row r="117" spans="1:18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26" t="str">
        <f>VLOOKUP(B117,Meta.Features!$A:$L,$G$1,FALSE)</f>
        <v>TRUE</v>
      </c>
      <c r="H117" s="3" t="s">
        <v>1570</v>
      </c>
      <c r="I117" s="3" t="s">
        <v>2420</v>
      </c>
      <c r="J117" s="3" t="s">
        <v>1570</v>
      </c>
      <c r="K117" s="1"/>
      <c r="L117" s="1"/>
      <c r="M117" s="1"/>
      <c r="N117" s="1"/>
      <c r="O117" s="1"/>
      <c r="P117" s="1"/>
      <c r="Q117" s="1"/>
      <c r="R117" s="1"/>
    </row>
    <row r="118" spans="1:18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26" t="str">
        <f>VLOOKUP(B118,Meta.Features!$A:$L,$G$1,FALSE)</f>
        <v>FALSE</v>
      </c>
      <c r="H118" s="3" t="s">
        <v>2400</v>
      </c>
      <c r="I118" s="3" t="s">
        <v>2420</v>
      </c>
      <c r="J118" s="3" t="s">
        <v>1570</v>
      </c>
      <c r="K118" s="1"/>
      <c r="L118" s="1"/>
      <c r="M118" s="1"/>
      <c r="N118" s="1"/>
      <c r="O118" s="1"/>
      <c r="P118" s="1"/>
      <c r="Q118" s="1"/>
      <c r="R118" s="1"/>
    </row>
    <row r="119" spans="1:18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26" t="str">
        <f>VLOOKUP(B119,Meta.Features!$A:$L,$G$1,FALSE)</f>
        <v>FALSE</v>
      </c>
      <c r="H119" s="3" t="s">
        <v>2400</v>
      </c>
      <c r="I119" s="3" t="s">
        <v>2420</v>
      </c>
      <c r="J119" s="3" t="s">
        <v>1570</v>
      </c>
      <c r="K119" s="1"/>
      <c r="L119" s="1"/>
      <c r="M119" s="1"/>
      <c r="N119" s="1"/>
      <c r="O119" s="1"/>
      <c r="P119" s="1"/>
      <c r="Q119" s="1"/>
      <c r="R119" s="1"/>
    </row>
    <row r="120" spans="1:18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26" t="str">
        <f>VLOOKUP(B120,Meta.Features!$A:$L,$G$1,FALSE)</f>
        <v>FALSE</v>
      </c>
      <c r="H120" s="3" t="s">
        <v>2400</v>
      </c>
      <c r="I120" s="3" t="s">
        <v>2420</v>
      </c>
      <c r="J120" s="3" t="s">
        <v>1570</v>
      </c>
      <c r="K120" s="1"/>
      <c r="L120" s="1"/>
      <c r="M120" s="1"/>
      <c r="N120" s="1"/>
      <c r="O120" s="1"/>
      <c r="P120" s="1"/>
      <c r="Q120" s="1"/>
      <c r="R120" s="1"/>
    </row>
    <row r="121" spans="1:18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26" t="str">
        <f>VLOOKUP(B121,Meta.Features!$A:$L,$G$1,FALSE)</f>
        <v>FALSE</v>
      </c>
      <c r="H121" s="3" t="s">
        <v>2400</v>
      </c>
      <c r="I121" s="3" t="s">
        <v>2420</v>
      </c>
      <c r="J121" s="3" t="s">
        <v>1570</v>
      </c>
      <c r="K121" s="1"/>
      <c r="L121" s="1"/>
      <c r="M121" s="1"/>
      <c r="N121" s="1"/>
      <c r="O121" s="1"/>
      <c r="P121" s="1"/>
      <c r="Q121" s="1"/>
      <c r="R121" s="1"/>
    </row>
    <row r="122" spans="1:18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26" t="str">
        <f>VLOOKUP(B122,Meta.Features!$A:$L,$G$1,FALSE)</f>
        <v>TRUE</v>
      </c>
      <c r="H122" s="3" t="s">
        <v>1570</v>
      </c>
      <c r="I122" s="3" t="s">
        <v>2420</v>
      </c>
      <c r="J122" s="3" t="s">
        <v>1570</v>
      </c>
      <c r="K122" s="1"/>
      <c r="L122" s="1"/>
      <c r="M122" s="1"/>
      <c r="N122" s="1"/>
      <c r="O122" s="1"/>
      <c r="P122" s="1"/>
      <c r="Q122" s="1"/>
      <c r="R122" s="1"/>
    </row>
    <row r="123" spans="1:18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26" t="str">
        <f>VLOOKUP(B123,Meta.Features!$A:$L,$G$1,FALSE)</f>
        <v>FALSE</v>
      </c>
      <c r="H123" s="3" t="s">
        <v>2400</v>
      </c>
      <c r="I123" s="3" t="s">
        <v>2420</v>
      </c>
      <c r="J123" s="3" t="s">
        <v>2506</v>
      </c>
      <c r="K123" s="1"/>
      <c r="L123" s="1"/>
      <c r="M123" s="1"/>
      <c r="N123" s="1"/>
      <c r="O123" s="1"/>
      <c r="P123" s="1"/>
      <c r="Q123" s="1"/>
      <c r="R123" s="1"/>
    </row>
    <row r="124" spans="1:18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26" t="str">
        <f>VLOOKUP(B124,Meta.Features!$A:$L,$G$1,FALSE)</f>
        <v>TRUE</v>
      </c>
      <c r="H124" s="3" t="s">
        <v>1570</v>
      </c>
      <c r="I124" s="3" t="s">
        <v>2420</v>
      </c>
      <c r="J124" s="3" t="s">
        <v>1570</v>
      </c>
      <c r="K124" s="1"/>
      <c r="L124" s="1"/>
      <c r="M124" s="1"/>
      <c r="N124" s="1"/>
      <c r="O124" s="1"/>
      <c r="P124" s="1"/>
      <c r="Q124" s="1"/>
      <c r="R124" s="1"/>
    </row>
    <row r="125" spans="1:18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26" t="str">
        <f>VLOOKUP(B125,Meta.Features!$A:$L,$G$1,FALSE)</f>
        <v>TRUE</v>
      </c>
      <c r="H125" s="3" t="s">
        <v>1570</v>
      </c>
      <c r="I125" s="3" t="s">
        <v>2420</v>
      </c>
      <c r="J125" s="3" t="s">
        <v>1570</v>
      </c>
      <c r="K125" s="1"/>
      <c r="L125" s="1"/>
      <c r="M125" s="1"/>
      <c r="N125" s="1"/>
      <c r="O125" s="1"/>
      <c r="P125" s="1"/>
      <c r="Q125" s="1"/>
      <c r="R125" s="1"/>
    </row>
    <row r="126" spans="1:18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26" t="str">
        <f>VLOOKUP(B126,Meta.Features!$A:$L,$G$1,FALSE)</f>
        <v>TRUE</v>
      </c>
      <c r="H126" s="3" t="s">
        <v>1570</v>
      </c>
      <c r="I126" s="3" t="s">
        <v>2420</v>
      </c>
      <c r="J126" s="3" t="s">
        <v>1570</v>
      </c>
      <c r="K126" s="1"/>
      <c r="L126" s="1"/>
      <c r="M126" s="1"/>
      <c r="N126" s="1"/>
      <c r="O126" s="1"/>
      <c r="P126" s="1"/>
      <c r="Q126" s="1"/>
      <c r="R126" s="1"/>
    </row>
    <row r="127" spans="1:18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26" t="str">
        <f>VLOOKUP(B127,Meta.Features!$A:$L,$G$1,FALSE)</f>
        <v>FALSE</v>
      </c>
      <c r="H127" s="3" t="s">
        <v>1570</v>
      </c>
      <c r="I127" s="3" t="s">
        <v>2420</v>
      </c>
      <c r="J127" s="3" t="s">
        <v>1570</v>
      </c>
      <c r="K127" s="1"/>
      <c r="L127" s="1"/>
      <c r="M127" s="1"/>
      <c r="N127" s="1"/>
      <c r="O127" s="1"/>
      <c r="P127" s="1"/>
      <c r="Q127" s="1"/>
      <c r="R127" s="1"/>
    </row>
    <row r="128" spans="1:18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26" t="str">
        <f>VLOOKUP(B128,Meta.Features!$A:$L,$G$1,FALSE)</f>
        <v>TRUE</v>
      </c>
      <c r="H128" s="3" t="s">
        <v>1570</v>
      </c>
      <c r="I128" s="3" t="s">
        <v>2420</v>
      </c>
      <c r="J128" s="3" t="s">
        <v>1570</v>
      </c>
      <c r="K128" s="1"/>
      <c r="L128" s="1"/>
      <c r="M128" s="1"/>
      <c r="N128" s="1"/>
      <c r="O128" s="1"/>
      <c r="P128" s="1"/>
      <c r="Q128" s="1"/>
      <c r="R128" s="1"/>
    </row>
    <row r="129" spans="1:18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26" t="str">
        <f>VLOOKUP(B129,Meta.Features!$A:$L,$G$1,FALSE)</f>
        <v>FALSE</v>
      </c>
      <c r="H129" s="3" t="s">
        <v>2400</v>
      </c>
      <c r="I129" s="3" t="s">
        <v>2420</v>
      </c>
      <c r="J129" s="3" t="s">
        <v>1570</v>
      </c>
      <c r="K129" s="1"/>
      <c r="L129" s="1"/>
      <c r="M129" s="1"/>
      <c r="N129" s="1"/>
      <c r="O129" s="1"/>
      <c r="P129" s="1"/>
      <c r="Q129" s="1"/>
      <c r="R129" s="1"/>
    </row>
    <row r="130" spans="1:18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26" t="str">
        <f>VLOOKUP(B130,Meta.Features!$A:$L,$G$1,FALSE)</f>
        <v>FALSE</v>
      </c>
      <c r="H130" s="3" t="s">
        <v>2400</v>
      </c>
      <c r="I130" s="3" t="s">
        <v>2420</v>
      </c>
      <c r="J130" s="3" t="s">
        <v>1570</v>
      </c>
      <c r="K130" s="1"/>
      <c r="L130" s="1"/>
      <c r="M130" s="1"/>
      <c r="N130" s="1"/>
      <c r="O130" s="1"/>
      <c r="P130" s="1"/>
      <c r="Q130" s="1"/>
      <c r="R130" s="1"/>
    </row>
    <row r="131" spans="1:18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26" t="str">
        <f>VLOOKUP(B131,Meta.Features!$A:$L,$G$1,FALSE)</f>
        <v>FALSE</v>
      </c>
      <c r="H131" s="3" t="s">
        <v>2400</v>
      </c>
      <c r="I131" s="3" t="s">
        <v>2420</v>
      </c>
      <c r="J131" s="3" t="s">
        <v>1570</v>
      </c>
      <c r="K131" s="1"/>
      <c r="L131" s="1"/>
      <c r="M131" s="1"/>
      <c r="N131" s="1"/>
      <c r="O131" s="1"/>
      <c r="P131" s="1"/>
      <c r="Q131" s="1"/>
      <c r="R131" s="1"/>
    </row>
    <row r="132" spans="1:18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26" t="str">
        <f>VLOOKUP(B132,Meta.Features!$A:$L,$G$1,FALSE)</f>
        <v>TRUE</v>
      </c>
      <c r="H132" s="3" t="s">
        <v>1570</v>
      </c>
      <c r="I132" s="3" t="s">
        <v>2420</v>
      </c>
      <c r="J132" s="3" t="s">
        <v>1570</v>
      </c>
      <c r="K132" s="1"/>
      <c r="L132" s="1"/>
      <c r="M132" s="1"/>
      <c r="N132" s="1"/>
      <c r="O132" s="1"/>
      <c r="P132" s="1"/>
      <c r="Q132" s="1"/>
      <c r="R132" s="1"/>
    </row>
    <row r="133" spans="1:18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26" t="str">
        <f>VLOOKUP(B133,Meta.Features!$A:$L,$G$1,FALSE)</f>
        <v>TRUE</v>
      </c>
      <c r="H133" s="3" t="s">
        <v>1570</v>
      </c>
      <c r="I133" s="3" t="s">
        <v>2420</v>
      </c>
      <c r="J133" s="3" t="s">
        <v>1570</v>
      </c>
      <c r="K133" s="1"/>
      <c r="L133" s="1"/>
      <c r="M133" s="1"/>
      <c r="N133" s="1"/>
      <c r="O133" s="1"/>
      <c r="P133" s="1"/>
      <c r="Q133" s="1"/>
      <c r="R133" s="1"/>
    </row>
    <row r="134" spans="1:18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26" t="str">
        <f>VLOOKUP(B134,Meta.Features!$A:$L,$G$1,FALSE)</f>
        <v>TRUE</v>
      </c>
      <c r="H134" s="3" t="s">
        <v>1570</v>
      </c>
      <c r="I134" s="3" t="s">
        <v>2420</v>
      </c>
      <c r="J134" s="3" t="s">
        <v>1570</v>
      </c>
      <c r="K134" s="1"/>
      <c r="L134" s="1"/>
      <c r="M134" s="1"/>
      <c r="N134" s="1"/>
      <c r="O134" s="1"/>
      <c r="P134" s="1"/>
      <c r="Q134" s="1"/>
      <c r="R134" s="1"/>
    </row>
    <row r="135" spans="1:18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26" t="str">
        <f>VLOOKUP(B135,Meta.Features!$A:$L,$G$1,FALSE)</f>
        <v>FALSE</v>
      </c>
      <c r="H135" s="3" t="s">
        <v>2400</v>
      </c>
      <c r="I135" s="3" t="s">
        <v>2420</v>
      </c>
      <c r="J135" s="3" t="s">
        <v>2506</v>
      </c>
      <c r="K135" s="1"/>
      <c r="L135" s="1"/>
      <c r="M135" s="1"/>
      <c r="N135" s="1"/>
      <c r="O135" s="1"/>
      <c r="P135" s="1"/>
      <c r="Q135" s="1"/>
      <c r="R135" s="1"/>
    </row>
    <row r="136" spans="1:18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26" t="str">
        <f>VLOOKUP(B136,Meta.Features!$A:$L,$G$1,FALSE)</f>
        <v>FALSE</v>
      </c>
      <c r="H136" s="3" t="s">
        <v>1570</v>
      </c>
      <c r="I136" s="3" t="s">
        <v>2420</v>
      </c>
      <c r="J136" s="3" t="s">
        <v>2506</v>
      </c>
      <c r="K136" s="1"/>
      <c r="L136" s="1"/>
      <c r="M136" s="1"/>
      <c r="N136" s="1"/>
      <c r="O136" s="1"/>
      <c r="P136" s="1"/>
      <c r="Q136" s="1"/>
      <c r="R136" s="1"/>
    </row>
    <row r="137" spans="1:18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26" t="str">
        <f>VLOOKUP(B137,Meta.Features!$A:$L,$G$1,FALSE)</f>
        <v>TRUE</v>
      </c>
      <c r="H137" s="3" t="s">
        <v>2615</v>
      </c>
      <c r="I137" s="3" t="s">
        <v>2420</v>
      </c>
      <c r="J137" s="3" t="s">
        <v>1570</v>
      </c>
      <c r="K137" s="1"/>
      <c r="L137" s="1"/>
      <c r="M137" s="1"/>
      <c r="N137" s="1"/>
      <c r="O137" s="1"/>
      <c r="P137" s="1"/>
      <c r="Q137" s="1"/>
      <c r="R137" s="1"/>
    </row>
    <row r="138" spans="1:18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26" t="str">
        <f>VLOOKUP(B138,Meta.Features!$A:$L,$G$1,FALSE)</f>
        <v>TRUE</v>
      </c>
      <c r="H138" s="3" t="s">
        <v>2615</v>
      </c>
      <c r="I138" s="3" t="s">
        <v>2420</v>
      </c>
      <c r="J138" s="3" t="s">
        <v>1570</v>
      </c>
      <c r="K138" s="1"/>
      <c r="L138" s="1"/>
      <c r="M138" s="1"/>
      <c r="N138" s="1"/>
      <c r="O138" s="1"/>
      <c r="P138" s="1"/>
      <c r="Q138" s="1"/>
      <c r="R138" s="1"/>
    </row>
    <row r="139" spans="1:18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26" t="str">
        <f>VLOOKUP(B139,Meta.Features!$A:$L,$G$1,FALSE)</f>
        <v>FALSE</v>
      </c>
      <c r="H139" s="3" t="s">
        <v>1570</v>
      </c>
      <c r="I139" s="3" t="s">
        <v>2420</v>
      </c>
      <c r="J139" s="3" t="s">
        <v>1570</v>
      </c>
      <c r="K139" s="1"/>
      <c r="L139" s="1"/>
      <c r="M139" s="1"/>
      <c r="N139" s="1"/>
      <c r="O139" s="1"/>
      <c r="P139" s="1"/>
      <c r="Q139" s="1"/>
      <c r="R139" s="1"/>
    </row>
    <row r="140" spans="1:18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26" t="str">
        <f>VLOOKUP(B140,Meta.Features!$A:$L,$G$1,FALSE)</f>
        <v>FALSE</v>
      </c>
      <c r="H140" s="3" t="s">
        <v>1570</v>
      </c>
      <c r="I140" s="3" t="s">
        <v>2420</v>
      </c>
      <c r="J140" s="3" t="s">
        <v>1570</v>
      </c>
      <c r="K140" s="1"/>
      <c r="L140" s="1"/>
      <c r="M140" s="1"/>
      <c r="N140" s="1"/>
      <c r="O140" s="1"/>
      <c r="P140" s="1"/>
      <c r="Q140" s="1"/>
      <c r="R140" s="1"/>
    </row>
    <row r="141" spans="1:18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26" t="str">
        <f>VLOOKUP(B141,Meta.Features!$A:$L,$G$1,FALSE)</f>
        <v>FALSE</v>
      </c>
      <c r="H141" s="3" t="s">
        <v>1570</v>
      </c>
      <c r="I141" s="3" t="s">
        <v>2420</v>
      </c>
      <c r="J141" s="3" t="s">
        <v>1570</v>
      </c>
      <c r="K141" s="1"/>
      <c r="L141" s="1"/>
      <c r="M141" s="1"/>
      <c r="N141" s="1"/>
      <c r="O141" s="1"/>
      <c r="P141" s="1"/>
      <c r="Q141" s="1"/>
      <c r="R141" s="1"/>
    </row>
    <row r="142" spans="1:18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26" t="str">
        <f>VLOOKUP(B142,Meta.Features!$A:$L,$G$1,FALSE)</f>
        <v>FALSE</v>
      </c>
      <c r="H142" s="3" t="s">
        <v>1570</v>
      </c>
      <c r="I142" s="3" t="s">
        <v>2420</v>
      </c>
      <c r="J142" s="3" t="s">
        <v>1570</v>
      </c>
      <c r="K142" s="1"/>
      <c r="L142" s="1"/>
      <c r="M142" s="1"/>
      <c r="N142" s="1"/>
      <c r="O142" s="1"/>
      <c r="P142" s="1"/>
      <c r="Q142" s="1"/>
      <c r="R142" s="1"/>
    </row>
    <row r="143" spans="1:18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26" t="str">
        <f>VLOOKUP(B143,Meta.Features!$A:$L,$G$1,FALSE)</f>
        <v>FALSE</v>
      </c>
      <c r="H143" s="3" t="s">
        <v>1570</v>
      </c>
      <c r="I143" s="3" t="s">
        <v>2420</v>
      </c>
      <c r="J143" s="3" t="s">
        <v>1570</v>
      </c>
      <c r="K143" s="1"/>
      <c r="L143" s="1"/>
      <c r="M143" s="1"/>
      <c r="N143" s="1"/>
      <c r="O143" s="1"/>
      <c r="P143" s="1"/>
      <c r="Q143" s="1"/>
      <c r="R143" s="1"/>
    </row>
    <row r="144" spans="1:18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26" t="str">
        <f>VLOOKUP(B144,Meta.Features!$A:$L,$G$1,FALSE)</f>
        <v>FALSE</v>
      </c>
      <c r="H144" s="3" t="s">
        <v>1570</v>
      </c>
      <c r="I144" s="3" t="s">
        <v>2420</v>
      </c>
      <c r="J144" s="3" t="s">
        <v>1570</v>
      </c>
      <c r="K144" s="1"/>
      <c r="L144" s="1"/>
      <c r="M144" s="1"/>
      <c r="N144" s="1"/>
      <c r="O144" s="1"/>
      <c r="P144" s="1"/>
      <c r="Q144" s="1"/>
      <c r="R144" s="1"/>
    </row>
    <row r="145" spans="1:18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26" t="str">
        <f>VLOOKUP(B145,Meta.Features!$A:$L,$G$1,FALSE)</f>
        <v>FALSE</v>
      </c>
      <c r="H145" s="3" t="s">
        <v>1570</v>
      </c>
      <c r="I145" s="3" t="s">
        <v>2420</v>
      </c>
      <c r="J145" s="3" t="s">
        <v>1570</v>
      </c>
      <c r="K145" s="1"/>
      <c r="L145" s="1"/>
      <c r="M145" s="1"/>
      <c r="N145" s="1"/>
      <c r="O145" s="1"/>
      <c r="P145" s="1"/>
      <c r="Q145" s="1"/>
      <c r="R145" s="1"/>
    </row>
    <row r="146" spans="1:18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26" t="str">
        <f>VLOOKUP(B146,Meta.Features!$A:$L,$G$1,FALSE)</f>
        <v>TRUE</v>
      </c>
      <c r="H146" s="3" t="s">
        <v>1570</v>
      </c>
      <c r="I146" s="3" t="s">
        <v>2420</v>
      </c>
      <c r="J146" s="3" t="s">
        <v>1570</v>
      </c>
      <c r="K146" s="1"/>
      <c r="L146" s="1"/>
      <c r="M146" s="1"/>
      <c r="N146" s="1"/>
      <c r="O146" s="1"/>
      <c r="P146" s="1"/>
      <c r="Q146" s="1"/>
      <c r="R146" s="1"/>
    </row>
    <row r="147" spans="1:18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26" t="str">
        <f>VLOOKUP(B147,Meta.Features!$A:$L,$G$1,FALSE)</f>
        <v>FALSE</v>
      </c>
      <c r="H147" s="3" t="s">
        <v>1570</v>
      </c>
      <c r="I147" s="3" t="s">
        <v>2420</v>
      </c>
      <c r="J147" s="3" t="s">
        <v>1570</v>
      </c>
      <c r="K147" s="1"/>
      <c r="L147" s="1"/>
      <c r="M147" s="1"/>
      <c r="N147" s="1"/>
      <c r="O147" s="1"/>
      <c r="P147" s="1"/>
      <c r="Q147" s="1"/>
      <c r="R147" s="1"/>
    </row>
    <row r="148" spans="1:18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26" t="str">
        <f>VLOOKUP(B148,Meta.Features!$A:$L,$G$1,FALSE)</f>
        <v>FALSE</v>
      </c>
      <c r="H148" s="3" t="s">
        <v>1570</v>
      </c>
      <c r="I148" s="3" t="s">
        <v>2420</v>
      </c>
      <c r="J148" s="3" t="s">
        <v>1570</v>
      </c>
      <c r="K148" s="1"/>
      <c r="L148" s="1"/>
      <c r="M148" s="1"/>
      <c r="N148" s="1"/>
      <c r="O148" s="1"/>
      <c r="P148" s="1"/>
      <c r="Q148" s="1"/>
      <c r="R148" s="1"/>
    </row>
    <row r="149" spans="1:18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26" t="str">
        <f>VLOOKUP(B149,Meta.Features!$A:$L,$G$1,FALSE)</f>
        <v>FALSE</v>
      </c>
      <c r="H149" s="3" t="s">
        <v>1570</v>
      </c>
      <c r="I149" s="3" t="s">
        <v>2420</v>
      </c>
      <c r="J149" s="3" t="s">
        <v>1570</v>
      </c>
      <c r="K149" s="1"/>
      <c r="L149" s="1"/>
      <c r="M149" s="1"/>
      <c r="N149" s="1"/>
      <c r="O149" s="1"/>
      <c r="P149" s="1"/>
      <c r="Q149" s="1"/>
      <c r="R149" s="1"/>
    </row>
    <row r="150" spans="1:18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26" t="str">
        <f>VLOOKUP(B150,Meta.Features!$A:$L,$G$1,FALSE)</f>
        <v>FALSE</v>
      </c>
      <c r="H150" s="3" t="s">
        <v>2400</v>
      </c>
      <c r="I150" s="3" t="s">
        <v>2420</v>
      </c>
      <c r="J150" s="3" t="s">
        <v>1570</v>
      </c>
      <c r="K150" s="1"/>
      <c r="L150" s="1"/>
      <c r="M150" s="1"/>
      <c r="N150" s="1"/>
      <c r="O150" s="1"/>
      <c r="P150" s="1"/>
      <c r="Q150" s="1"/>
      <c r="R150" s="1"/>
    </row>
    <row r="151" spans="1:18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26" t="str">
        <f>VLOOKUP(B151,Meta.Features!$A:$L,$G$1,FALSE)</f>
        <v>FALSE</v>
      </c>
      <c r="H151" s="3" t="s">
        <v>2400</v>
      </c>
      <c r="I151" s="3" t="s">
        <v>2420</v>
      </c>
      <c r="J151" s="3" t="s">
        <v>2506</v>
      </c>
      <c r="K151" s="1"/>
      <c r="L151" s="1"/>
      <c r="M151" s="1"/>
      <c r="N151" s="1"/>
      <c r="O151" s="1"/>
      <c r="P151" s="1"/>
      <c r="Q151" s="1"/>
      <c r="R151" s="1"/>
    </row>
    <row r="152" spans="1:18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26" t="str">
        <f>VLOOKUP(B152,Meta.Features!$A:$L,$G$1,FALSE)</f>
        <v>TRUE</v>
      </c>
      <c r="H152" s="3" t="s">
        <v>1570</v>
      </c>
      <c r="I152" s="3" t="s">
        <v>2420</v>
      </c>
      <c r="J152" s="3" t="s">
        <v>1570</v>
      </c>
      <c r="K152" s="1"/>
      <c r="L152" s="1"/>
      <c r="M152" s="1"/>
      <c r="N152" s="1"/>
      <c r="O152" s="1"/>
      <c r="P152" s="1"/>
      <c r="Q152" s="1"/>
      <c r="R152" s="1"/>
    </row>
    <row r="153" spans="1:18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26" t="str">
        <f>VLOOKUP(B153,Meta.Features!$A:$L,$G$1,FALSE)</f>
        <v>TRUE</v>
      </c>
      <c r="H153" s="3" t="s">
        <v>1570</v>
      </c>
      <c r="I153" s="3" t="s">
        <v>2420</v>
      </c>
      <c r="J153" s="3" t="s">
        <v>1570</v>
      </c>
      <c r="K153" s="1"/>
      <c r="L153" s="1"/>
      <c r="M153" s="1"/>
      <c r="N153" s="1"/>
      <c r="O153" s="1"/>
      <c r="P153" s="1"/>
      <c r="Q153" s="1"/>
      <c r="R153" s="1"/>
    </row>
  </sheetData>
  <conditionalFormatting sqref="G1:G1048576">
    <cfRule type="cellIs" dxfId="51" priority="1" operator="equal">
      <formula>"TRUE"</formula>
    </cfRule>
  </conditionalFormatting>
  <conditionalFormatting sqref="H4:J153">
    <cfRule type="cellIs" dxfId="50" priority="2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E7" sqref="E7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2413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F126" activePane="bottomRight" state="frozen"/>
      <selection pane="topRight" activeCell="F1" sqref="F1"/>
      <selection pane="bottomLeft" activeCell="A4" sqref="A4"/>
      <selection pane="bottomRight" activeCell="H3" sqref="H3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2223</v>
      </c>
      <c r="H2" s="51" t="s">
        <v>2223</v>
      </c>
      <c r="I2" s="51" t="s">
        <v>2223</v>
      </c>
      <c r="J2" s="51" t="s">
        <v>2223</v>
      </c>
      <c r="K2" s="57" t="s">
        <v>2223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2423</v>
      </c>
      <c r="G3" s="59" t="s">
        <v>2424</v>
      </c>
      <c r="H3" s="32" t="s">
        <v>2224</v>
      </c>
      <c r="I3" s="32" t="s">
        <v>2226</v>
      </c>
      <c r="J3" s="32" t="s">
        <v>2225</v>
      </c>
      <c r="K3" s="59" t="s">
        <v>2227</v>
      </c>
      <c r="L3" s="67" t="s">
        <v>2236</v>
      </c>
      <c r="M3" s="32" t="s">
        <v>2421</v>
      </c>
      <c r="N3" s="32" t="s">
        <v>2422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25">
        <v>9</v>
      </c>
      <c r="H137" s="3">
        <v>1</v>
      </c>
      <c r="I137" s="3" t="s">
        <v>1570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E25" activePane="bottomRight" state="frozen"/>
      <selection pane="topRight" activeCell="E1" sqref="E1"/>
      <selection pane="bottomLeft" activeCell="A4" sqref="A4"/>
      <selection pane="bottomRight" activeCell="F7" sqref="F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2223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2228</v>
      </c>
      <c r="G14" s="17" t="s">
        <v>2229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2179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2232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2140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2140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2230</v>
      </c>
      <c r="G23" s="17" t="s">
        <v>2231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2140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2208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2209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152"/>
  <sheetViews>
    <sheetView zoomScale="99" workbookViewId="0">
      <pane xSplit="4" ySplit="3" topLeftCell="E32" activePane="bottomRight" state="frozen"/>
      <selection pane="topRight" activeCell="G1" sqref="G1"/>
      <selection pane="bottomLeft" activeCell="A4" sqref="A4"/>
      <selection pane="bottomRight" activeCell="G43" sqref="G43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7.44140625" style="9" customWidth="1"/>
    <col min="4" max="4" width="29.109375" style="44" customWidth="1"/>
    <col min="5" max="5" width="21.6640625" style="5" customWidth="1"/>
    <col min="6" max="6" width="24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2239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2240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s="48" customFormat="1" ht="25.2" customHeight="1" x14ac:dyDescent="0.3">
      <c r="A40" s="5" t="s">
        <v>1458</v>
      </c>
      <c r="B40" s="37">
        <v>133</v>
      </c>
      <c r="C40" s="9" t="str">
        <f>VLOOKUP(B40,Meta.Features!$A:$G,$C$1,FALSE)</f>
        <v>SystemicTherapy</v>
      </c>
      <c r="D40" s="44" t="str">
        <f>VLOOKUP(B40,Meta.Features!$A:$G,$D$1,FALSE)</f>
        <v>Regimen</v>
      </c>
      <c r="E40" s="5" t="s">
        <v>2176</v>
      </c>
      <c r="F40" s="5" t="s">
        <v>2502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2153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2154</v>
      </c>
      <c r="F42" s="3" t="s">
        <v>1655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2155</v>
      </c>
      <c r="F43" s="3" t="s">
        <v>1654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2156</v>
      </c>
      <c r="F44" s="3" t="s">
        <v>1616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2157</v>
      </c>
      <c r="F45" s="3" t="s">
        <v>1643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2158</v>
      </c>
      <c r="F46" s="3" t="s">
        <v>1658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2159</v>
      </c>
      <c r="F47" s="3" t="s">
        <v>1692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2160</v>
      </c>
      <c r="F48" s="3" t="s">
        <v>1853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2161</v>
      </c>
      <c r="F49" s="3" t="s">
        <v>1678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2162</v>
      </c>
      <c r="F50" s="3" t="s">
        <v>1808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2163</v>
      </c>
      <c r="F51" s="3" t="s">
        <v>1791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2165</v>
      </c>
      <c r="F52" s="3" t="s">
        <v>1852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2166</v>
      </c>
      <c r="F53" s="3" t="s">
        <v>1825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2167</v>
      </c>
      <c r="F54" s="3" t="s">
        <v>1631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2168</v>
      </c>
      <c r="F55" s="3" t="s">
        <v>1621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2169</v>
      </c>
      <c r="F56" s="3" t="s">
        <v>1632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2170</v>
      </c>
      <c r="F57" s="3" t="s">
        <v>1819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2171</v>
      </c>
      <c r="F58" s="3" t="s">
        <v>1644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2172</v>
      </c>
      <c r="F59" s="3" t="s">
        <v>1898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2173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2174</v>
      </c>
      <c r="F61" s="3" t="s">
        <v>1692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2175</v>
      </c>
      <c r="F62" s="3" t="s">
        <v>2524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2176</v>
      </c>
      <c r="F63" s="3" t="s">
        <v>1951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2177</v>
      </c>
      <c r="F64" s="3" t="s">
        <v>1642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3" t="s">
        <v>2178</v>
      </c>
      <c r="F65" s="3" t="s">
        <v>1660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2249</v>
      </c>
      <c r="F66" s="5" t="s">
        <v>1692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2250</v>
      </c>
      <c r="F67" s="5" t="s">
        <v>2518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2251</v>
      </c>
      <c r="F68" s="5" t="s">
        <v>1825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2255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2256</v>
      </c>
      <c r="F70" s="5" t="s">
        <v>1625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2257</v>
      </c>
      <c r="F71" s="5" t="s">
        <v>1684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2258</v>
      </c>
      <c r="F72" s="5" t="s">
        <v>1853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2259</v>
      </c>
      <c r="F73" s="5" t="s">
        <v>1616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2260</v>
      </c>
      <c r="F74" s="5" t="s">
        <v>1804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2261</v>
      </c>
      <c r="F75" s="5" t="s">
        <v>2180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2262</v>
      </c>
      <c r="F76" s="5" t="s">
        <v>1620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2263</v>
      </c>
      <c r="F77" s="5" t="s">
        <v>1754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2264</v>
      </c>
      <c r="F78" s="5" t="s">
        <v>1791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2265</v>
      </c>
      <c r="F79" s="5" t="s">
        <v>1856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2266</v>
      </c>
      <c r="F80" s="5" t="s">
        <v>1769</v>
      </c>
    </row>
    <row r="81" spans="1:7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2267</v>
      </c>
      <c r="F81" s="5" t="s">
        <v>1670</v>
      </c>
    </row>
    <row r="82" spans="1:7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2268</v>
      </c>
      <c r="F82" s="5" t="s">
        <v>1807</v>
      </c>
    </row>
    <row r="83" spans="1:7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2269</v>
      </c>
      <c r="F83" s="5" t="s">
        <v>1805</v>
      </c>
    </row>
    <row r="84" spans="1:7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2270</v>
      </c>
      <c r="F84" s="5" t="s">
        <v>1659</v>
      </c>
    </row>
    <row r="85" spans="1:7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2271</v>
      </c>
      <c r="F85" s="5" t="s">
        <v>1691</v>
      </c>
    </row>
    <row r="86" spans="1:7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2272</v>
      </c>
      <c r="F86" s="5" t="s">
        <v>1967</v>
      </c>
    </row>
    <row r="87" spans="1:7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2273</v>
      </c>
      <c r="F87" s="5" t="s">
        <v>1684</v>
      </c>
    </row>
    <row r="88" spans="1:7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2274</v>
      </c>
      <c r="F88" s="5" t="s">
        <v>1930</v>
      </c>
    </row>
    <row r="89" spans="1:7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2275</v>
      </c>
      <c r="F89" s="5" t="s">
        <v>1654</v>
      </c>
    </row>
    <row r="90" spans="1:7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2276</v>
      </c>
      <c r="F90" s="5" t="s">
        <v>1898</v>
      </c>
    </row>
    <row r="91" spans="1:7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2277</v>
      </c>
      <c r="F91" s="5" t="s">
        <v>2126</v>
      </c>
    </row>
    <row r="92" spans="1:7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2278</v>
      </c>
      <c r="F92" s="5" t="s">
        <v>1864</v>
      </c>
    </row>
    <row r="93" spans="1:7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2279</v>
      </c>
      <c r="F93" s="5" t="s">
        <v>1864</v>
      </c>
    </row>
    <row r="94" spans="1:7" ht="25.2" customHeight="1" x14ac:dyDescent="0.3">
      <c r="A94" s="5" t="s">
        <v>1458</v>
      </c>
      <c r="B94" s="37">
        <v>134</v>
      </c>
      <c r="C94" s="9" t="str">
        <f>VLOOKUP(B94,Meta.Features!$A:$G,$C$1,FALSE)</f>
        <v>SystemicTherapy</v>
      </c>
      <c r="D94" s="44" t="str">
        <f>VLOOKUP(B94,Meta.Features!$A:$G,$D$1,FALSE)</f>
        <v>Substance</v>
      </c>
      <c r="E94" s="5" t="s">
        <v>2428</v>
      </c>
      <c r="F94" s="5" t="s">
        <v>2504</v>
      </c>
      <c r="G94" s="48" t="s">
        <v>2505</v>
      </c>
    </row>
    <row r="95" spans="1:7" ht="25.2" customHeight="1" x14ac:dyDescent="0.3">
      <c r="A95" s="5" t="s">
        <v>1458</v>
      </c>
      <c r="B95" s="37">
        <v>134</v>
      </c>
      <c r="C95" s="9" t="str">
        <f>VLOOKUP(B95,Meta.Features!$A:$G,$C$1,FALSE)</f>
        <v>SystemicTherapy</v>
      </c>
      <c r="D95" s="44" t="str">
        <f>VLOOKUP(B95,Meta.Features!$A:$G,$D$1,FALSE)</f>
        <v>Substance</v>
      </c>
      <c r="E95" s="5" t="s">
        <v>2430</v>
      </c>
      <c r="F95" s="5" t="s">
        <v>1819</v>
      </c>
    </row>
    <row r="96" spans="1:7" ht="25.2" customHeight="1" x14ac:dyDescent="0.3">
      <c r="A96" s="5" t="s">
        <v>1458</v>
      </c>
      <c r="B96" s="37">
        <v>134</v>
      </c>
      <c r="C96" s="9" t="str">
        <f>VLOOKUP(B96,Meta.Features!$A:$G,$C$1,FALSE)</f>
        <v>SystemicTherapy</v>
      </c>
      <c r="D96" s="44" t="str">
        <f>VLOOKUP(B96,Meta.Features!$A:$G,$D$1,FALSE)</f>
        <v>Substance</v>
      </c>
      <c r="E96" s="5" t="s">
        <v>2436</v>
      </c>
      <c r="F96" s="5" t="s">
        <v>2435</v>
      </c>
    </row>
    <row r="97" spans="1:7" ht="25.2" customHeight="1" x14ac:dyDescent="0.3">
      <c r="A97" s="5" t="s">
        <v>1458</v>
      </c>
      <c r="B97" s="37">
        <v>134</v>
      </c>
      <c r="C97" s="9" t="str">
        <f>VLOOKUP(B97,Meta.Features!$A:$G,$C$1,FALSE)</f>
        <v>SystemicTherapy</v>
      </c>
      <c r="D97" s="44" t="str">
        <f>VLOOKUP(B97,Meta.Features!$A:$G,$D$1,FALSE)</f>
        <v>Substance</v>
      </c>
      <c r="E97" s="5" t="s">
        <v>2443</v>
      </c>
      <c r="F97" s="5" t="s">
        <v>1822</v>
      </c>
    </row>
    <row r="98" spans="1:7" ht="25.2" customHeight="1" x14ac:dyDescent="0.3">
      <c r="A98" s="5" t="s">
        <v>1458</v>
      </c>
      <c r="B98" s="37">
        <v>134</v>
      </c>
      <c r="C98" s="9" t="str">
        <f>VLOOKUP(B98,Meta.Features!$A:$G,$C$1,FALSE)</f>
        <v>SystemicTherapy</v>
      </c>
      <c r="D98" s="44" t="str">
        <f>VLOOKUP(B98,Meta.Features!$A:$G,$D$1,FALSE)</f>
        <v>Substance</v>
      </c>
      <c r="E98" s="5" t="s">
        <v>2444</v>
      </c>
      <c r="F98" s="5" t="s">
        <v>2504</v>
      </c>
      <c r="G98" s="48" t="s">
        <v>2505</v>
      </c>
    </row>
    <row r="99" spans="1:7" ht="25.2" customHeight="1" x14ac:dyDescent="0.3">
      <c r="A99" s="5" t="s">
        <v>1458</v>
      </c>
      <c r="B99" s="37">
        <v>134</v>
      </c>
      <c r="C99" s="9" t="str">
        <f>VLOOKUP(B99,Meta.Features!$A:$G,$C$1,FALSE)</f>
        <v>SystemicTherapy</v>
      </c>
      <c r="D99" s="44" t="str">
        <f>VLOOKUP(B99,Meta.Features!$A:$G,$D$1,FALSE)</f>
        <v>Substance</v>
      </c>
      <c r="E99" s="5" t="s">
        <v>2452</v>
      </c>
      <c r="F99" s="5" t="s">
        <v>1655</v>
      </c>
    </row>
    <row r="100" spans="1:7" ht="25.2" customHeight="1" x14ac:dyDescent="0.3">
      <c r="A100" s="5" t="s">
        <v>1458</v>
      </c>
      <c r="B100" s="37">
        <v>134</v>
      </c>
      <c r="C100" s="9" t="str">
        <f>VLOOKUP(B100,Meta.Features!$A:$G,$C$1,FALSE)</f>
        <v>SystemicTherapy</v>
      </c>
      <c r="D100" s="44" t="str">
        <f>VLOOKUP(B100,Meta.Features!$A:$G,$D$1,FALSE)</f>
        <v>Substance</v>
      </c>
      <c r="E100" s="5" t="s">
        <v>2454</v>
      </c>
      <c r="F100" s="5" t="s">
        <v>2453</v>
      </c>
    </row>
    <row r="101" spans="1:7" ht="25.2" customHeight="1" x14ac:dyDescent="0.3">
      <c r="A101" s="5" t="s">
        <v>1458</v>
      </c>
      <c r="B101" s="37">
        <v>134</v>
      </c>
      <c r="C101" s="9" t="str">
        <f>VLOOKUP(B101,Meta.Features!$A:$G,$C$1,FALSE)</f>
        <v>SystemicTherapy</v>
      </c>
      <c r="D101" s="44" t="str">
        <f>VLOOKUP(B101,Meta.Features!$A:$G,$D$1,FALSE)</f>
        <v>Substance</v>
      </c>
      <c r="E101" s="5" t="s">
        <v>2455</v>
      </c>
      <c r="F101" s="5" t="s">
        <v>2435</v>
      </c>
    </row>
    <row r="102" spans="1:7" ht="25.2" customHeight="1" x14ac:dyDescent="0.3">
      <c r="A102" s="5" t="s">
        <v>1458</v>
      </c>
      <c r="B102" s="37">
        <v>134</v>
      </c>
      <c r="C102" s="9" t="str">
        <f>VLOOKUP(B102,Meta.Features!$A:$G,$C$1,FALSE)</f>
        <v>SystemicTherapy</v>
      </c>
      <c r="D102" s="44" t="str">
        <f>VLOOKUP(B102,Meta.Features!$A:$G,$D$1,FALSE)</f>
        <v>Substance</v>
      </c>
      <c r="E102" s="5" t="s">
        <v>2460</v>
      </c>
      <c r="F102" s="5" t="s">
        <v>1644</v>
      </c>
    </row>
    <row r="103" spans="1:7" ht="25.2" customHeight="1" x14ac:dyDescent="0.3">
      <c r="A103" s="5" t="s">
        <v>1458</v>
      </c>
      <c r="B103" s="37">
        <v>134</v>
      </c>
      <c r="C103" s="9" t="str">
        <f>VLOOKUP(B103,Meta.Features!$A:$G,$C$1,FALSE)</f>
        <v>SystemicTherapy</v>
      </c>
      <c r="D103" s="44" t="str">
        <f>VLOOKUP(B103,Meta.Features!$A:$G,$D$1,FALSE)</f>
        <v>Substance</v>
      </c>
      <c r="E103" s="5" t="s">
        <v>2461</v>
      </c>
      <c r="F103" s="5" t="s">
        <v>1658</v>
      </c>
    </row>
    <row r="104" spans="1:7" ht="25.2" customHeight="1" x14ac:dyDescent="0.3">
      <c r="A104" s="5" t="s">
        <v>1458</v>
      </c>
      <c r="B104" s="37">
        <v>134</v>
      </c>
      <c r="C104" s="9" t="str">
        <f>VLOOKUP(B104,Meta.Features!$A:$G,$C$1,FALSE)</f>
        <v>SystemicTherapy</v>
      </c>
      <c r="D104" s="44" t="str">
        <f>VLOOKUP(B104,Meta.Features!$A:$G,$D$1,FALSE)</f>
        <v>Substance</v>
      </c>
      <c r="E104" s="5" t="s">
        <v>2462</v>
      </c>
      <c r="F104" s="5" t="s">
        <v>1940</v>
      </c>
    </row>
    <row r="105" spans="1:7" ht="25.2" customHeight="1" x14ac:dyDescent="0.3">
      <c r="A105" s="5" t="s">
        <v>1458</v>
      </c>
      <c r="B105" s="37">
        <v>134</v>
      </c>
      <c r="C105" s="9" t="str">
        <f>VLOOKUP(B105,Meta.Features!$A:$G,$C$1,FALSE)</f>
        <v>SystemicTherapy</v>
      </c>
      <c r="D105" s="44" t="str">
        <f>VLOOKUP(B105,Meta.Features!$A:$G,$D$1,FALSE)</f>
        <v>Substance</v>
      </c>
      <c r="E105" s="5" t="s">
        <v>2463</v>
      </c>
      <c r="F105" s="5" t="s">
        <v>1940</v>
      </c>
    </row>
    <row r="106" spans="1:7" ht="25.2" customHeight="1" x14ac:dyDescent="0.3">
      <c r="A106" s="5" t="s">
        <v>1458</v>
      </c>
      <c r="B106" s="37">
        <v>134</v>
      </c>
      <c r="C106" s="9" t="str">
        <f>VLOOKUP(B106,Meta.Features!$A:$G,$C$1,FALSE)</f>
        <v>SystemicTherapy</v>
      </c>
      <c r="D106" s="44" t="str">
        <f>VLOOKUP(B106,Meta.Features!$A:$G,$D$1,FALSE)</f>
        <v>Substance</v>
      </c>
      <c r="E106" s="5" t="s">
        <v>2464</v>
      </c>
      <c r="F106" s="5" t="s">
        <v>1798</v>
      </c>
    </row>
    <row r="107" spans="1:7" ht="25.2" customHeight="1" x14ac:dyDescent="0.3">
      <c r="A107" s="5" t="s">
        <v>1458</v>
      </c>
      <c r="B107" s="37">
        <v>134</v>
      </c>
      <c r="C107" s="9" t="str">
        <f>VLOOKUP(B107,Meta.Features!$A:$G,$C$1,FALSE)</f>
        <v>SystemicTherapy</v>
      </c>
      <c r="D107" s="44" t="str">
        <f>VLOOKUP(B107,Meta.Features!$A:$G,$D$1,FALSE)</f>
        <v>Substance</v>
      </c>
      <c r="E107" s="5" t="s">
        <v>2465</v>
      </c>
      <c r="F107" s="5" t="s">
        <v>1678</v>
      </c>
    </row>
    <row r="108" spans="1:7" ht="25.2" customHeight="1" x14ac:dyDescent="0.3">
      <c r="A108" s="5" t="s">
        <v>1458</v>
      </c>
      <c r="B108" s="37">
        <v>134</v>
      </c>
      <c r="C108" s="9" t="str">
        <f>VLOOKUP(B108,Meta.Features!$A:$G,$C$1,FALSE)</f>
        <v>SystemicTherapy</v>
      </c>
      <c r="D108" s="44" t="str">
        <f>VLOOKUP(B108,Meta.Features!$A:$G,$D$1,FALSE)</f>
        <v>Substance</v>
      </c>
      <c r="E108" s="5" t="s">
        <v>2466</v>
      </c>
      <c r="F108" s="5" t="s">
        <v>1679</v>
      </c>
    </row>
    <row r="109" spans="1:7" ht="25.2" customHeight="1" x14ac:dyDescent="0.3">
      <c r="A109" s="5" t="s">
        <v>1458</v>
      </c>
      <c r="B109" s="37">
        <v>134</v>
      </c>
      <c r="C109" s="9" t="str">
        <f>VLOOKUP(B109,Meta.Features!$A:$G,$C$1,FALSE)</f>
        <v>SystemicTherapy</v>
      </c>
      <c r="D109" s="44" t="str">
        <f>VLOOKUP(B109,Meta.Features!$A:$G,$D$1,FALSE)</f>
        <v>Substance</v>
      </c>
      <c r="E109" s="5" t="s">
        <v>2467</v>
      </c>
      <c r="F109" s="5" t="s">
        <v>2523</v>
      </c>
    </row>
    <row r="110" spans="1:7" ht="25.2" customHeight="1" x14ac:dyDescent="0.3">
      <c r="A110" s="5" t="s">
        <v>1458</v>
      </c>
      <c r="B110" s="37">
        <v>134</v>
      </c>
      <c r="C110" s="9" t="str">
        <f>VLOOKUP(B110,Meta.Features!$A:$G,$C$1,FALSE)</f>
        <v>SystemicTherapy</v>
      </c>
      <c r="D110" s="44" t="str">
        <f>VLOOKUP(B110,Meta.Features!$A:$G,$D$1,FALSE)</f>
        <v>Substance</v>
      </c>
      <c r="E110" s="5" t="s">
        <v>2468</v>
      </c>
      <c r="F110" s="5" t="s">
        <v>1740</v>
      </c>
    </row>
    <row r="111" spans="1:7" ht="25.2" customHeight="1" x14ac:dyDescent="0.3">
      <c r="A111" s="5" t="s">
        <v>1458</v>
      </c>
      <c r="B111" s="37">
        <v>134</v>
      </c>
      <c r="C111" s="9" t="str">
        <f>VLOOKUP(B111,Meta.Features!$A:$G,$C$1,FALSE)</f>
        <v>SystemicTherapy</v>
      </c>
      <c r="D111" s="44" t="str">
        <f>VLOOKUP(B111,Meta.Features!$A:$G,$D$1,FALSE)</f>
        <v>Substance</v>
      </c>
      <c r="E111" s="5" t="s">
        <v>2469</v>
      </c>
      <c r="F111" s="5" t="s">
        <v>1716</v>
      </c>
    </row>
    <row r="112" spans="1:7" ht="25.2" customHeight="1" x14ac:dyDescent="0.3">
      <c r="A112" s="5" t="s">
        <v>1458</v>
      </c>
      <c r="B112" s="37">
        <v>134</v>
      </c>
      <c r="C112" s="9" t="str">
        <f>VLOOKUP(B112,Meta.Features!$A:$G,$C$1,FALSE)</f>
        <v>SystemicTherapy</v>
      </c>
      <c r="D112" s="44" t="str">
        <f>VLOOKUP(B112,Meta.Features!$A:$G,$D$1,FALSE)</f>
        <v>Substance</v>
      </c>
      <c r="E112" s="5" t="s">
        <v>2470</v>
      </c>
      <c r="F112" s="5" t="s">
        <v>1964</v>
      </c>
    </row>
    <row r="113" spans="1:6" ht="25.2" customHeight="1" x14ac:dyDescent="0.3">
      <c r="A113" s="5" t="s">
        <v>1458</v>
      </c>
      <c r="B113" s="37">
        <v>134</v>
      </c>
      <c r="C113" s="9" t="str">
        <f>VLOOKUP(B113,Meta.Features!$A:$G,$C$1,FALSE)</f>
        <v>SystemicTherapy</v>
      </c>
      <c r="D113" s="44" t="str">
        <f>VLOOKUP(B113,Meta.Features!$A:$G,$D$1,FALSE)</f>
        <v>Substance</v>
      </c>
      <c r="E113" s="5" t="s">
        <v>2471</v>
      </c>
      <c r="F113" s="5" t="s">
        <v>1618</v>
      </c>
    </row>
    <row r="114" spans="1:6" ht="25.2" customHeight="1" x14ac:dyDescent="0.3">
      <c r="A114" s="5" t="s">
        <v>1458</v>
      </c>
      <c r="B114" s="37">
        <v>134</v>
      </c>
      <c r="C114" s="9" t="str">
        <f>VLOOKUP(B114,Meta.Features!$A:$G,$C$1,FALSE)</f>
        <v>SystemicTherapy</v>
      </c>
      <c r="D114" s="44" t="str">
        <f>VLOOKUP(B114,Meta.Features!$A:$G,$D$1,FALSE)</f>
        <v>Substance</v>
      </c>
      <c r="E114" s="5" t="s">
        <v>2472</v>
      </c>
      <c r="F114" s="5" t="s">
        <v>1684</v>
      </c>
    </row>
    <row r="115" spans="1:6" ht="25.2" customHeight="1" x14ac:dyDescent="0.3">
      <c r="A115" s="5" t="s">
        <v>1458</v>
      </c>
      <c r="B115" s="37">
        <v>134</v>
      </c>
      <c r="C115" s="9" t="str">
        <f>VLOOKUP(B115,Meta.Features!$A:$G,$C$1,FALSE)</f>
        <v>SystemicTherapy</v>
      </c>
      <c r="D115" s="44" t="str">
        <f>VLOOKUP(B115,Meta.Features!$A:$G,$D$1,FALSE)</f>
        <v>Substance</v>
      </c>
      <c r="E115" s="5" t="s">
        <v>2473</v>
      </c>
      <c r="F115" s="5" t="s">
        <v>1694</v>
      </c>
    </row>
    <row r="116" spans="1:6" ht="25.2" customHeight="1" x14ac:dyDescent="0.3">
      <c r="A116" s="5" t="s">
        <v>1458</v>
      </c>
      <c r="B116" s="37">
        <v>134</v>
      </c>
      <c r="C116" s="9" t="str">
        <f>VLOOKUP(B116,Meta.Features!$A:$G,$C$1,FALSE)</f>
        <v>SystemicTherapy</v>
      </c>
      <c r="D116" s="44" t="str">
        <f>VLOOKUP(B116,Meta.Features!$A:$G,$D$1,FALSE)</f>
        <v>Substance</v>
      </c>
      <c r="E116" s="5" t="s">
        <v>2474</v>
      </c>
      <c r="F116" s="5" t="s">
        <v>1658</v>
      </c>
    </row>
    <row r="117" spans="1:6" ht="25.2" customHeight="1" x14ac:dyDescent="0.3">
      <c r="A117" s="5" t="s">
        <v>1458</v>
      </c>
      <c r="B117" s="37">
        <v>134</v>
      </c>
      <c r="C117" s="9" t="str">
        <f>VLOOKUP(B117,Meta.Features!$A:$G,$C$1,FALSE)</f>
        <v>SystemicTherapy</v>
      </c>
      <c r="D117" s="44" t="str">
        <f>VLOOKUP(B117,Meta.Features!$A:$G,$D$1,FALSE)</f>
        <v>Substance</v>
      </c>
      <c r="E117" s="5" t="s">
        <v>2475</v>
      </c>
      <c r="F117" s="5" t="s">
        <v>1853</v>
      </c>
    </row>
    <row r="118" spans="1:6" ht="25.2" customHeight="1" x14ac:dyDescent="0.3">
      <c r="A118" s="5" t="s">
        <v>1458</v>
      </c>
      <c r="B118" s="37">
        <v>134</v>
      </c>
      <c r="C118" s="9" t="str">
        <f>VLOOKUP(B118,Meta.Features!$A:$G,$C$1,FALSE)</f>
        <v>SystemicTherapy</v>
      </c>
      <c r="D118" s="44" t="str">
        <f>VLOOKUP(B118,Meta.Features!$A:$G,$D$1,FALSE)</f>
        <v>Substance</v>
      </c>
      <c r="E118" s="5" t="s">
        <v>2476</v>
      </c>
      <c r="F118" s="5" t="s">
        <v>1672</v>
      </c>
    </row>
    <row r="119" spans="1:6" ht="25.2" customHeight="1" x14ac:dyDescent="0.3">
      <c r="A119" s="5" t="s">
        <v>1458</v>
      </c>
      <c r="B119" s="37">
        <v>134</v>
      </c>
      <c r="C119" s="9" t="str">
        <f>VLOOKUP(B119,Meta.Features!$A:$G,$C$1,FALSE)</f>
        <v>SystemicTherapy</v>
      </c>
      <c r="D119" s="44" t="str">
        <f>VLOOKUP(B119,Meta.Features!$A:$G,$D$1,FALSE)</f>
        <v>Substance</v>
      </c>
      <c r="E119" s="5" t="s">
        <v>2477</v>
      </c>
      <c r="F119" s="5" t="s">
        <v>1960</v>
      </c>
    </row>
    <row r="120" spans="1:6" ht="25.2" customHeight="1" x14ac:dyDescent="0.3">
      <c r="A120" s="5" t="s">
        <v>1458</v>
      </c>
      <c r="B120" s="37">
        <v>134</v>
      </c>
      <c r="C120" s="9" t="str">
        <f>VLOOKUP(B120,Meta.Features!$A:$G,$C$1,FALSE)</f>
        <v>SystemicTherapy</v>
      </c>
      <c r="D120" s="44" t="str">
        <f>VLOOKUP(B120,Meta.Features!$A:$G,$D$1,FALSE)</f>
        <v>Substance</v>
      </c>
      <c r="E120" s="5" t="s">
        <v>2478</v>
      </c>
      <c r="F120" s="5" t="s">
        <v>1946</v>
      </c>
    </row>
    <row r="121" spans="1:6" ht="25.2" customHeight="1" x14ac:dyDescent="0.3">
      <c r="A121" s="5" t="s">
        <v>1458</v>
      </c>
      <c r="B121" s="37">
        <v>134</v>
      </c>
      <c r="C121" s="9" t="str">
        <f>VLOOKUP(B121,Meta.Features!$A:$G,$C$1,FALSE)</f>
        <v>SystemicTherapy</v>
      </c>
      <c r="D121" s="44" t="str">
        <f>VLOOKUP(B121,Meta.Features!$A:$G,$D$1,FALSE)</f>
        <v>Substance</v>
      </c>
      <c r="E121" s="5" t="s">
        <v>2479</v>
      </c>
      <c r="F121" s="5" t="s">
        <v>1694</v>
      </c>
    </row>
    <row r="122" spans="1:6" ht="25.2" customHeight="1" x14ac:dyDescent="0.3">
      <c r="A122" s="5" t="s">
        <v>1458</v>
      </c>
      <c r="B122" s="37">
        <v>134</v>
      </c>
      <c r="C122" s="9" t="str">
        <f>VLOOKUP(B122,Meta.Features!$A:$G,$C$1,FALSE)</f>
        <v>SystemicTherapy</v>
      </c>
      <c r="D122" s="44" t="str">
        <f>VLOOKUP(B122,Meta.Features!$A:$G,$D$1,FALSE)</f>
        <v>Substance</v>
      </c>
      <c r="E122" s="5" t="s">
        <v>2480</v>
      </c>
      <c r="F122" s="5" t="s">
        <v>1947</v>
      </c>
    </row>
    <row r="123" spans="1:6" ht="25.2" customHeight="1" x14ac:dyDescent="0.3">
      <c r="A123" s="5" t="s">
        <v>1458</v>
      </c>
      <c r="B123" s="37">
        <v>134</v>
      </c>
      <c r="C123" s="9" t="str">
        <f>VLOOKUP(B123,Meta.Features!$A:$G,$C$1,FALSE)</f>
        <v>SystemicTherapy</v>
      </c>
      <c r="D123" s="44" t="str">
        <f>VLOOKUP(B123,Meta.Features!$A:$G,$D$1,FALSE)</f>
        <v>Substance</v>
      </c>
      <c r="E123" s="5" t="s">
        <v>2481</v>
      </c>
      <c r="F123" s="5" t="s">
        <v>1949</v>
      </c>
    </row>
    <row r="124" spans="1:6" ht="25.2" customHeight="1" x14ac:dyDescent="0.3">
      <c r="A124" s="5" t="s">
        <v>1458</v>
      </c>
      <c r="B124" s="37">
        <v>134</v>
      </c>
      <c r="C124" s="9" t="str">
        <f>VLOOKUP(B124,Meta.Features!$A:$G,$C$1,FALSE)</f>
        <v>SystemicTherapy</v>
      </c>
      <c r="D124" s="44" t="str">
        <f>VLOOKUP(B124,Meta.Features!$A:$G,$D$1,FALSE)</f>
        <v>Substance</v>
      </c>
      <c r="E124" s="5" t="s">
        <v>2482</v>
      </c>
      <c r="F124" s="5" t="s">
        <v>1658</v>
      </c>
    </row>
    <row r="125" spans="1:6" ht="25.2" customHeight="1" x14ac:dyDescent="0.3">
      <c r="A125" s="5" t="s">
        <v>1458</v>
      </c>
      <c r="B125" s="37">
        <v>134</v>
      </c>
      <c r="C125" s="9" t="str">
        <f>VLOOKUP(B125,Meta.Features!$A:$G,$C$1,FALSE)</f>
        <v>SystemicTherapy</v>
      </c>
      <c r="D125" s="44" t="str">
        <f>VLOOKUP(B125,Meta.Features!$A:$G,$D$1,FALSE)</f>
        <v>Substance</v>
      </c>
      <c r="E125" s="5" t="s">
        <v>2483</v>
      </c>
      <c r="F125" s="5" t="s">
        <v>1705</v>
      </c>
    </row>
    <row r="126" spans="1:6" ht="25.2" customHeight="1" x14ac:dyDescent="0.3">
      <c r="A126" s="5" t="s">
        <v>1458</v>
      </c>
      <c r="B126" s="37">
        <v>134</v>
      </c>
      <c r="C126" s="9" t="str">
        <f>VLOOKUP(B126,Meta.Features!$A:$G,$C$1,FALSE)</f>
        <v>SystemicTherapy</v>
      </c>
      <c r="D126" s="44" t="str">
        <f>VLOOKUP(B126,Meta.Features!$A:$G,$D$1,FALSE)</f>
        <v>Substance</v>
      </c>
      <c r="E126" s="5" t="s">
        <v>2484</v>
      </c>
      <c r="F126" s="5" t="s">
        <v>1698</v>
      </c>
    </row>
    <row r="127" spans="1:6" ht="25.2" customHeight="1" x14ac:dyDescent="0.3">
      <c r="A127" s="5" t="s">
        <v>1458</v>
      </c>
      <c r="B127" s="37">
        <v>134</v>
      </c>
      <c r="C127" s="9" t="str">
        <f>VLOOKUP(B127,Meta.Features!$A:$G,$C$1,FALSE)</f>
        <v>SystemicTherapy</v>
      </c>
      <c r="D127" s="44" t="str">
        <f>VLOOKUP(B127,Meta.Features!$A:$G,$D$1,FALSE)</f>
        <v>Substance</v>
      </c>
      <c r="E127" s="5" t="s">
        <v>2485</v>
      </c>
      <c r="F127" s="5" t="s">
        <v>1852</v>
      </c>
    </row>
    <row r="128" spans="1:6" ht="25.2" customHeight="1" x14ac:dyDescent="0.3">
      <c r="A128" s="5" t="s">
        <v>1458</v>
      </c>
      <c r="B128" s="37">
        <v>134</v>
      </c>
      <c r="C128" s="9" t="str">
        <f>VLOOKUP(B128,Meta.Features!$A:$G,$C$1,FALSE)</f>
        <v>SystemicTherapy</v>
      </c>
      <c r="D128" s="44" t="str">
        <f>VLOOKUP(B128,Meta.Features!$A:$G,$D$1,FALSE)</f>
        <v>Substance</v>
      </c>
      <c r="E128" s="5" t="s">
        <v>2486</v>
      </c>
      <c r="F128" s="5" t="s">
        <v>2487</v>
      </c>
    </row>
    <row r="129" spans="1:6" ht="25.2" customHeight="1" x14ac:dyDescent="0.3">
      <c r="A129" s="5" t="s">
        <v>1458</v>
      </c>
      <c r="B129" s="37">
        <v>134</v>
      </c>
      <c r="C129" s="9" t="str">
        <f>VLOOKUP(B129,Meta.Features!$A:$G,$C$1,FALSE)</f>
        <v>SystemicTherapy</v>
      </c>
      <c r="D129" s="44" t="str">
        <f>VLOOKUP(B129,Meta.Features!$A:$G,$D$1,FALSE)</f>
        <v>Substance</v>
      </c>
      <c r="E129" s="5" t="s">
        <v>2488</v>
      </c>
      <c r="F129" s="5" t="s">
        <v>1623</v>
      </c>
    </row>
    <row r="130" spans="1:6" ht="25.2" customHeight="1" x14ac:dyDescent="0.3">
      <c r="A130" s="5" t="s">
        <v>1458</v>
      </c>
      <c r="B130" s="37">
        <v>134</v>
      </c>
      <c r="C130" s="9" t="str">
        <f>VLOOKUP(B130,Meta.Features!$A:$G,$C$1,FALSE)</f>
        <v>SystemicTherapy</v>
      </c>
      <c r="D130" s="44" t="str">
        <f>VLOOKUP(B130,Meta.Features!$A:$G,$D$1,FALSE)</f>
        <v>Substance</v>
      </c>
      <c r="E130" s="5" t="s">
        <v>2489</v>
      </c>
      <c r="F130" s="5" t="s">
        <v>1675</v>
      </c>
    </row>
    <row r="131" spans="1:6" ht="25.2" customHeight="1" x14ac:dyDescent="0.3">
      <c r="A131" s="5" t="s">
        <v>1458</v>
      </c>
      <c r="B131" s="37">
        <v>134</v>
      </c>
      <c r="C131" s="9" t="str">
        <f>VLOOKUP(B131,Meta.Features!$A:$G,$C$1,FALSE)</f>
        <v>SystemicTherapy</v>
      </c>
      <c r="D131" s="44" t="str">
        <f>VLOOKUP(B131,Meta.Features!$A:$G,$D$1,FALSE)</f>
        <v>Substance</v>
      </c>
      <c r="E131" s="5" t="s">
        <v>2490</v>
      </c>
      <c r="F131" s="5" t="s">
        <v>1853</v>
      </c>
    </row>
    <row r="132" spans="1:6" ht="25.2" customHeight="1" x14ac:dyDescent="0.3">
      <c r="A132" s="5" t="s">
        <v>1458</v>
      </c>
      <c r="B132" s="37">
        <v>134</v>
      </c>
      <c r="C132" s="9" t="str">
        <f>VLOOKUP(B132,Meta.Features!$A:$G,$C$1,FALSE)</f>
        <v>SystemicTherapy</v>
      </c>
      <c r="D132" s="44" t="str">
        <f>VLOOKUP(B132,Meta.Features!$A:$G,$D$1,FALSE)</f>
        <v>Substance</v>
      </c>
      <c r="E132" s="5" t="s">
        <v>2491</v>
      </c>
      <c r="F132" s="5" t="s">
        <v>1646</v>
      </c>
    </row>
    <row r="133" spans="1:6" ht="25.2" customHeight="1" x14ac:dyDescent="0.3">
      <c r="A133" s="5" t="s">
        <v>1458</v>
      </c>
      <c r="B133" s="37">
        <v>134</v>
      </c>
      <c r="C133" s="9" t="str">
        <f>VLOOKUP(B133,Meta.Features!$A:$G,$C$1,FALSE)</f>
        <v>SystemicTherapy</v>
      </c>
      <c r="D133" s="44" t="str">
        <f>VLOOKUP(B133,Meta.Features!$A:$G,$D$1,FALSE)</f>
        <v>Substance</v>
      </c>
      <c r="E133" s="5" t="s">
        <v>2492</v>
      </c>
      <c r="F133" s="5" t="s">
        <v>1705</v>
      </c>
    </row>
    <row r="134" spans="1:6" ht="25.2" customHeight="1" x14ac:dyDescent="0.3">
      <c r="A134" s="5" t="s">
        <v>1458</v>
      </c>
      <c r="B134" s="37">
        <v>134</v>
      </c>
      <c r="C134" s="9" t="str">
        <f>VLOOKUP(B134,Meta.Features!$A:$G,$C$1,FALSE)</f>
        <v>SystemicTherapy</v>
      </c>
      <c r="D134" s="44" t="str">
        <f>VLOOKUP(B134,Meta.Features!$A:$G,$D$1,FALSE)</f>
        <v>Substance</v>
      </c>
      <c r="E134" s="5" t="s">
        <v>2493</v>
      </c>
      <c r="F134" s="5" t="s">
        <v>1692</v>
      </c>
    </row>
    <row r="135" spans="1:6" ht="25.2" customHeight="1" x14ac:dyDescent="0.3">
      <c r="A135" s="5" t="s">
        <v>1458</v>
      </c>
      <c r="B135" s="37">
        <v>134</v>
      </c>
      <c r="C135" s="9" t="str">
        <f>VLOOKUP(B135,Meta.Features!$A:$G,$C$1,FALSE)</f>
        <v>SystemicTherapy</v>
      </c>
      <c r="D135" s="44" t="str">
        <f>VLOOKUP(B135,Meta.Features!$A:$G,$D$1,FALSE)</f>
        <v>Substance</v>
      </c>
      <c r="E135" s="5" t="s">
        <v>2494</v>
      </c>
      <c r="F135" s="5" t="s">
        <v>1957</v>
      </c>
    </row>
    <row r="136" spans="1:6" ht="25.2" customHeight="1" x14ac:dyDescent="0.3">
      <c r="A136" s="5" t="s">
        <v>1458</v>
      </c>
      <c r="B136" s="37">
        <v>134</v>
      </c>
      <c r="C136" s="9" t="str">
        <f>VLOOKUP(B136,Meta.Features!$A:$G,$C$1,FALSE)</f>
        <v>SystemicTherapy</v>
      </c>
      <c r="D136" s="44" t="str">
        <f>VLOOKUP(B136,Meta.Features!$A:$G,$D$1,FALSE)</f>
        <v>Substance</v>
      </c>
      <c r="E136" s="5" t="s">
        <v>2495</v>
      </c>
      <c r="F136" s="5" t="s">
        <v>1957</v>
      </c>
    </row>
    <row r="137" spans="1:6" ht="25.2" customHeight="1" x14ac:dyDescent="0.3">
      <c r="A137" s="5" t="s">
        <v>1458</v>
      </c>
      <c r="B137" s="37">
        <v>134</v>
      </c>
      <c r="C137" s="9" t="str">
        <f>VLOOKUP(B137,Meta.Features!$A:$G,$C$1,FALSE)</f>
        <v>SystemicTherapy</v>
      </c>
      <c r="D137" s="44" t="str">
        <f>VLOOKUP(B137,Meta.Features!$A:$G,$D$1,FALSE)</f>
        <v>Substance</v>
      </c>
      <c r="E137" s="5" t="s">
        <v>2496</v>
      </c>
      <c r="F137" s="5" t="s">
        <v>1951</v>
      </c>
    </row>
    <row r="138" spans="1:6" ht="25.2" customHeight="1" x14ac:dyDescent="0.3">
      <c r="A138" s="5" t="s">
        <v>1458</v>
      </c>
      <c r="B138" s="37">
        <v>134</v>
      </c>
      <c r="C138" s="9" t="str">
        <f>VLOOKUP(B138,Meta.Features!$A:$G,$C$1,FALSE)</f>
        <v>SystemicTherapy</v>
      </c>
      <c r="D138" s="44" t="str">
        <f>VLOOKUP(B138,Meta.Features!$A:$G,$D$1,FALSE)</f>
        <v>Substance</v>
      </c>
      <c r="E138" s="5" t="s">
        <v>2497</v>
      </c>
      <c r="F138" s="5" t="s">
        <v>1957</v>
      </c>
    </row>
    <row r="139" spans="1:6" ht="25.2" customHeight="1" x14ac:dyDescent="0.3">
      <c r="A139" s="5" t="s">
        <v>1458</v>
      </c>
      <c r="B139" s="37">
        <v>134</v>
      </c>
      <c r="C139" s="9" t="str">
        <f>VLOOKUP(B139,Meta.Features!$A:$G,$C$1,FALSE)</f>
        <v>SystemicTherapy</v>
      </c>
      <c r="D139" s="44" t="str">
        <f>VLOOKUP(B139,Meta.Features!$A:$G,$D$1,FALSE)</f>
        <v>Substance</v>
      </c>
      <c r="E139" s="5" t="s">
        <v>2498</v>
      </c>
      <c r="F139" s="5" t="s">
        <v>1960</v>
      </c>
    </row>
    <row r="140" spans="1:6" ht="25.2" customHeight="1" x14ac:dyDescent="0.3">
      <c r="A140" s="5" t="s">
        <v>1458</v>
      </c>
      <c r="B140" s="37">
        <v>134</v>
      </c>
      <c r="C140" s="9" t="str">
        <f>VLOOKUP(B140,Meta.Features!$A:$G,$C$1,FALSE)</f>
        <v>SystemicTherapy</v>
      </c>
      <c r="D140" s="44" t="str">
        <f>VLOOKUP(B140,Meta.Features!$A:$G,$D$1,FALSE)</f>
        <v>Substance</v>
      </c>
      <c r="E140" s="5" t="s">
        <v>2499</v>
      </c>
      <c r="F140" s="5" t="s">
        <v>1957</v>
      </c>
    </row>
    <row r="141" spans="1:6" ht="25.2" customHeight="1" x14ac:dyDescent="0.3">
      <c r="A141" s="5" t="s">
        <v>1458</v>
      </c>
      <c r="B141" s="37">
        <v>134</v>
      </c>
      <c r="C141" s="9" t="str">
        <f>VLOOKUP(B141,Meta.Features!$A:$G,$C$1,FALSE)</f>
        <v>SystemicTherapy</v>
      </c>
      <c r="D141" s="44" t="str">
        <f>VLOOKUP(B141,Meta.Features!$A:$G,$D$1,FALSE)</f>
        <v>Substance</v>
      </c>
      <c r="E141" s="5" t="s">
        <v>2500</v>
      </c>
      <c r="F141" s="5" t="s">
        <v>1852</v>
      </c>
    </row>
    <row r="142" spans="1:6" ht="25.2" customHeight="1" x14ac:dyDescent="0.3">
      <c r="A142" s="5" t="s">
        <v>1458</v>
      </c>
      <c r="B142" s="37">
        <v>134</v>
      </c>
      <c r="C142" s="9" t="str">
        <f>VLOOKUP(B142,Meta.Features!$A:$G,$C$1,FALSE)</f>
        <v>SystemicTherapy</v>
      </c>
      <c r="D142" s="44" t="str">
        <f>VLOOKUP(B142,Meta.Features!$A:$G,$D$1,FALSE)</f>
        <v>Substance</v>
      </c>
      <c r="E142" s="5" t="s">
        <v>2501</v>
      </c>
      <c r="F142" s="5" t="s">
        <v>2180</v>
      </c>
    </row>
    <row r="143" spans="1:6" ht="25.2" customHeight="1" x14ac:dyDescent="0.3">
      <c r="A143" s="5" t="s">
        <v>1458</v>
      </c>
      <c r="B143" s="37">
        <v>134</v>
      </c>
      <c r="C143" s="9" t="str">
        <f>VLOOKUP(B143,Meta.Features!$A:$G,$C$1,FALSE)</f>
        <v>SystemicTherapy</v>
      </c>
      <c r="D143" s="44" t="str">
        <f>VLOOKUP(B143,Meta.Features!$A:$G,$D$1,FALSE)</f>
        <v>Substance</v>
      </c>
      <c r="E143" s="5" t="s">
        <v>2503</v>
      </c>
      <c r="F143" s="5" t="s">
        <v>1655</v>
      </c>
    </row>
    <row r="144" spans="1:6" ht="25.2" customHeight="1" x14ac:dyDescent="0.3">
      <c r="A144" s="5" t="s">
        <v>1458</v>
      </c>
      <c r="B144" s="37">
        <v>134</v>
      </c>
      <c r="C144" s="9" t="str">
        <f>VLOOKUP(B144,Meta.Features!$A:$G,$C$1,FALSE)</f>
        <v>SystemicTherapy</v>
      </c>
      <c r="D144" s="44" t="str">
        <f>VLOOKUP(B144,Meta.Features!$A:$G,$D$1,FALSE)</f>
        <v>Substance</v>
      </c>
      <c r="E144" s="5" t="s">
        <v>2511</v>
      </c>
      <c r="F144" s="5" t="s">
        <v>1907</v>
      </c>
    </row>
    <row r="145" spans="1:6" ht="25.2" customHeight="1" x14ac:dyDescent="0.3">
      <c r="A145" s="5" t="s">
        <v>1458</v>
      </c>
      <c r="B145" s="37">
        <v>134</v>
      </c>
      <c r="C145" s="9" t="str">
        <f>VLOOKUP(B145,Meta.Features!$A:$G,$C$1,FALSE)</f>
        <v>SystemicTherapy</v>
      </c>
      <c r="D145" s="44" t="str">
        <f>VLOOKUP(B145,Meta.Features!$A:$G,$D$1,FALSE)</f>
        <v>Substance</v>
      </c>
      <c r="E145" s="5" t="s">
        <v>2516</v>
      </c>
      <c r="F145" s="5" t="s">
        <v>2517</v>
      </c>
    </row>
    <row r="146" spans="1:6" ht="25.2" customHeight="1" x14ac:dyDescent="0.3">
      <c r="A146" s="5" t="s">
        <v>1458</v>
      </c>
      <c r="B146" s="37">
        <v>134</v>
      </c>
      <c r="C146" s="9" t="str">
        <f>VLOOKUP(B146,Meta.Features!$A:$G,$C$1,FALSE)</f>
        <v>SystemicTherapy</v>
      </c>
      <c r="D146" s="44" t="str">
        <f>VLOOKUP(B146,Meta.Features!$A:$G,$D$1,FALSE)</f>
        <v>Substance</v>
      </c>
      <c r="E146" s="5" t="s">
        <v>2520</v>
      </c>
      <c r="F146" s="5" t="s">
        <v>1634</v>
      </c>
    </row>
    <row r="147" spans="1:6" ht="25.2" customHeight="1" x14ac:dyDescent="0.3">
      <c r="A147" s="5" t="s">
        <v>1458</v>
      </c>
      <c r="B147" s="37">
        <v>134</v>
      </c>
      <c r="C147" s="9" t="str">
        <f>VLOOKUP(B147,Meta.Features!$A:$G,$C$1,FALSE)</f>
        <v>SystemicTherapy</v>
      </c>
      <c r="D147" s="44" t="str">
        <f>VLOOKUP(B147,Meta.Features!$A:$G,$D$1,FALSE)</f>
        <v>Substance</v>
      </c>
      <c r="E147" s="5" t="s">
        <v>2521</v>
      </c>
      <c r="F147" s="5" t="s">
        <v>1649</v>
      </c>
    </row>
    <row r="148" spans="1:6" ht="25.2" customHeight="1" x14ac:dyDescent="0.3">
      <c r="A148" s="5" t="s">
        <v>1458</v>
      </c>
      <c r="B148" s="37">
        <v>134</v>
      </c>
      <c r="C148" s="9" t="str">
        <f>VLOOKUP(B148,Meta.Features!$A:$G,$C$1,FALSE)</f>
        <v>SystemicTherapy</v>
      </c>
      <c r="D148" s="44" t="str">
        <f>VLOOKUP(B148,Meta.Features!$A:$G,$D$1,FALSE)</f>
        <v>Substance</v>
      </c>
      <c r="E148" s="5" t="s">
        <v>2522</v>
      </c>
      <c r="F148" s="5" t="s">
        <v>1649</v>
      </c>
    </row>
    <row r="149" spans="1:6" ht="25.2" customHeight="1" x14ac:dyDescent="0.3">
      <c r="A149" s="5" t="s">
        <v>1458</v>
      </c>
      <c r="B149" s="37">
        <v>21</v>
      </c>
      <c r="C149" s="9" t="str">
        <f>VLOOKUP(B149,Meta.Features!$A:$G,$C$1,FALSE)</f>
        <v>Diagnosis</v>
      </c>
      <c r="D149" s="44" t="str">
        <f>VLOOKUP(B149,Meta.Features!$A:$G,$D$1,FALSE)</f>
        <v>DiagnosisConfirmation</v>
      </c>
      <c r="E149" s="60" t="str">
        <f>"7.1"</f>
        <v>7.1</v>
      </c>
      <c r="F149" s="5">
        <v>7</v>
      </c>
    </row>
    <row r="150" spans="1:6" ht="25.2" customHeight="1" x14ac:dyDescent="0.3">
      <c r="A150" s="5" t="s">
        <v>1458</v>
      </c>
      <c r="B150" s="37">
        <v>21</v>
      </c>
      <c r="C150" s="9" t="str">
        <f>VLOOKUP(B150,Meta.Features!$A:$G,$C$1,FALSE)</f>
        <v>Diagnosis</v>
      </c>
      <c r="D150" s="44" t="str">
        <f>VLOOKUP(B150,Meta.Features!$A:$G,$D$1,FALSE)</f>
        <v>DiagnosisConfirmation</v>
      </c>
      <c r="E150" s="60" t="str">
        <f>"7.2"</f>
        <v>7.2</v>
      </c>
      <c r="F150" s="5">
        <v>7</v>
      </c>
    </row>
    <row r="151" spans="1:6" ht="25.2" customHeight="1" x14ac:dyDescent="0.3">
      <c r="A151" s="5" t="s">
        <v>1458</v>
      </c>
      <c r="B151" s="37">
        <v>21</v>
      </c>
      <c r="C151" s="9" t="str">
        <f>VLOOKUP(B151,Meta.Features!$A:$G,$C$1,FALSE)</f>
        <v>Diagnosis</v>
      </c>
      <c r="D151" s="44" t="str">
        <f>VLOOKUP(B151,Meta.Features!$A:$G,$D$1,FALSE)</f>
        <v>DiagnosisConfirmation</v>
      </c>
      <c r="E151" s="60" t="str">
        <f>"7.9"</f>
        <v>7.9</v>
      </c>
      <c r="F151" s="5">
        <v>7</v>
      </c>
    </row>
    <row r="152" spans="1:6" ht="25.2" customHeight="1" x14ac:dyDescent="0.3">
      <c r="A152" s="5" t="s">
        <v>1458</v>
      </c>
      <c r="B152" s="37">
        <v>26</v>
      </c>
      <c r="C152" s="9" t="str">
        <f>VLOOKUP(B152,Meta.Features!$A:$G,$C$1,FALSE)</f>
        <v>GeneralCondition</v>
      </c>
      <c r="D152" s="44" t="str">
        <f>VLOOKUP(B152,Meta.Features!$A:$G,$D$1,FALSE)</f>
        <v>ECOG</v>
      </c>
      <c r="E152" s="69">
        <v>1</v>
      </c>
      <c r="F152" s="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tabSelected="1" workbookViewId="0">
      <pane xSplit="5" ySplit="3" topLeftCell="F130" activePane="bottomRight" state="frozen"/>
      <selection pane="topRight" activeCell="F1" sqref="F1"/>
      <selection pane="bottomLeft" activeCell="A3" sqref="A3"/>
      <selection pane="bottomRight" activeCell="G143" sqref="G143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2223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2223</v>
      </c>
      <c r="N2" s="51" t="s">
        <v>2223</v>
      </c>
      <c r="O2" s="51" t="s">
        <v>2223</v>
      </c>
      <c r="P2" s="51" t="s">
        <v>2223</v>
      </c>
      <c r="Q2" s="51" t="s">
        <v>2223</v>
      </c>
      <c r="R2" s="51" t="s">
        <v>2223</v>
      </c>
      <c r="S2" s="51" t="s">
        <v>2223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2143</v>
      </c>
      <c r="G3" s="32" t="s">
        <v>2135</v>
      </c>
      <c r="H3" s="32" t="s">
        <v>2136</v>
      </c>
      <c r="I3" s="32" t="s">
        <v>2137</v>
      </c>
      <c r="J3" s="32" t="s">
        <v>2138</v>
      </c>
      <c r="K3" s="32" t="s">
        <v>2139</v>
      </c>
      <c r="L3" s="32" t="s">
        <v>2144</v>
      </c>
      <c r="M3" s="32" t="s">
        <v>2148</v>
      </c>
      <c r="N3" s="32" t="s">
        <v>2149</v>
      </c>
      <c r="O3" s="32" t="s">
        <v>2150</v>
      </c>
      <c r="P3" s="32" t="s">
        <v>2151</v>
      </c>
      <c r="Q3" s="32" t="s">
        <v>2145</v>
      </c>
      <c r="R3" s="32" t="s">
        <v>2146</v>
      </c>
      <c r="S3" s="32" t="s">
        <v>2147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2142</v>
      </c>
      <c r="G4" s="3" t="s">
        <v>652</v>
      </c>
      <c r="H4" s="3" t="s">
        <v>2152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2142</v>
      </c>
      <c r="G5" s="3" t="s">
        <v>652</v>
      </c>
      <c r="H5" s="3" t="s">
        <v>2152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2142</v>
      </c>
      <c r="G6" s="3" t="s">
        <v>652</v>
      </c>
      <c r="H6" s="3" t="s">
        <v>2152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2142</v>
      </c>
      <c r="G7" s="3" t="s">
        <v>652</v>
      </c>
      <c r="H7" s="3" t="s">
        <v>2152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2142</v>
      </c>
      <c r="G8" s="3" t="s">
        <v>652</v>
      </c>
      <c r="H8" s="3" t="s">
        <v>2152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2142</v>
      </c>
      <c r="G9" s="3" t="s">
        <v>652</v>
      </c>
      <c r="H9" s="3" t="s">
        <v>2152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2142</v>
      </c>
      <c r="G10" s="3" t="s">
        <v>652</v>
      </c>
      <c r="H10" s="3" t="s">
        <v>2152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2142</v>
      </c>
      <c r="G11" s="3" t="s">
        <v>652</v>
      </c>
      <c r="H11" s="3" t="s">
        <v>2152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2142</v>
      </c>
      <c r="G12" s="3" t="s">
        <v>652</v>
      </c>
      <c r="H12" s="3" t="s">
        <v>2152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2142</v>
      </c>
      <c r="G13" s="3" t="s">
        <v>652</v>
      </c>
      <c r="H13" s="3" t="s">
        <v>2152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2142</v>
      </c>
      <c r="G14" s="3" t="s">
        <v>652</v>
      </c>
      <c r="H14" s="3" t="s">
        <v>2152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2142</v>
      </c>
      <c r="G15" s="3" t="s">
        <v>652</v>
      </c>
      <c r="H15" s="3" t="s">
        <v>2152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2142</v>
      </c>
      <c r="G16" s="3" t="s">
        <v>652</v>
      </c>
      <c r="H16" s="3" t="s">
        <v>2152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2142</v>
      </c>
      <c r="G17" s="3" t="s">
        <v>652</v>
      </c>
      <c r="H17" s="3" t="s">
        <v>2152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2142</v>
      </c>
      <c r="G18" s="3" t="s">
        <v>652</v>
      </c>
      <c r="H18" s="3" t="s">
        <v>2152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2142</v>
      </c>
      <c r="G19" s="3" t="s">
        <v>652</v>
      </c>
      <c r="H19" s="3" t="s">
        <v>2152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2142</v>
      </c>
      <c r="G20" s="3" t="s">
        <v>652</v>
      </c>
      <c r="H20" s="3" t="s">
        <v>2152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2142</v>
      </c>
      <c r="G21" s="3" t="s">
        <v>652</v>
      </c>
      <c r="H21" s="3" t="s">
        <v>2152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2142</v>
      </c>
      <c r="G22" s="3" t="s">
        <v>652</v>
      </c>
      <c r="H22" s="3" t="s">
        <v>2152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2142</v>
      </c>
      <c r="G23" s="3" t="s">
        <v>652</v>
      </c>
      <c r="H23" s="3" t="s">
        <v>2152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2142</v>
      </c>
      <c r="G24" s="3" t="s">
        <v>652</v>
      </c>
      <c r="H24" s="3" t="s">
        <v>2152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2142</v>
      </c>
      <c r="G25" s="3" t="s">
        <v>652</v>
      </c>
      <c r="H25" s="3" t="s">
        <v>2152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2142</v>
      </c>
      <c r="G26" s="3" t="s">
        <v>652</v>
      </c>
      <c r="H26" s="3" t="s">
        <v>2152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2142</v>
      </c>
      <c r="G27" s="3" t="s">
        <v>652</v>
      </c>
      <c r="H27" s="3" t="s">
        <v>2152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2142</v>
      </c>
      <c r="G28" s="3" t="s">
        <v>652</v>
      </c>
      <c r="H28" s="3" t="s">
        <v>2152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2142</v>
      </c>
      <c r="G29" s="3" t="s">
        <v>652</v>
      </c>
      <c r="H29" s="3" t="s">
        <v>2152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2142</v>
      </c>
      <c r="G30" s="3" t="s">
        <v>652</v>
      </c>
      <c r="H30" s="3" t="s">
        <v>2152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2142</v>
      </c>
      <c r="G31" s="3" t="s">
        <v>652</v>
      </c>
      <c r="H31" s="3" t="s">
        <v>2152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2142</v>
      </c>
      <c r="G32" s="3" t="s">
        <v>652</v>
      </c>
      <c r="H32" s="3" t="s">
        <v>2152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2142</v>
      </c>
      <c r="G33" s="3" t="s">
        <v>652</v>
      </c>
      <c r="H33" s="3" t="s">
        <v>2152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2142</v>
      </c>
      <c r="G34" s="3" t="s">
        <v>652</v>
      </c>
      <c r="H34" s="3" t="s">
        <v>2152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2142</v>
      </c>
      <c r="G35" s="3" t="s">
        <v>652</v>
      </c>
      <c r="H35" s="3" t="s">
        <v>2152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2142</v>
      </c>
      <c r="G36" s="3" t="s">
        <v>652</v>
      </c>
      <c r="H36" s="3" t="s">
        <v>2152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2142</v>
      </c>
      <c r="G37" s="3" t="s">
        <v>652</v>
      </c>
      <c r="H37" s="3" t="s">
        <v>2152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2142</v>
      </c>
      <c r="G38" s="3" t="s">
        <v>652</v>
      </c>
      <c r="H38" s="3" t="s">
        <v>2152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2142</v>
      </c>
      <c r="G39" s="3" t="s">
        <v>652</v>
      </c>
      <c r="H39" s="3" t="s">
        <v>2152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2142</v>
      </c>
      <c r="G40" s="3" t="s">
        <v>652</v>
      </c>
      <c r="H40" s="3" t="s">
        <v>2152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2142</v>
      </c>
      <c r="G41" s="3" t="s">
        <v>652</v>
      </c>
      <c r="H41" s="3" t="s">
        <v>2152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2142</v>
      </c>
      <c r="G42" s="3" t="s">
        <v>652</v>
      </c>
      <c r="H42" s="3" t="s">
        <v>2152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2142</v>
      </c>
      <c r="G43" s="3" t="s">
        <v>652</v>
      </c>
      <c r="H43" s="3" t="s">
        <v>2152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2142</v>
      </c>
      <c r="G44" s="3" t="s">
        <v>652</v>
      </c>
      <c r="H44" s="3" t="s">
        <v>2152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2142</v>
      </c>
      <c r="G45" s="3" t="s">
        <v>652</v>
      </c>
      <c r="H45" s="3" t="s">
        <v>2152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2142</v>
      </c>
      <c r="G46" s="3" t="s">
        <v>652</v>
      </c>
      <c r="H46" s="3" t="s">
        <v>2152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2142</v>
      </c>
      <c r="G47" s="3" t="s">
        <v>652</v>
      </c>
      <c r="H47" s="3" t="s">
        <v>2152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2142</v>
      </c>
      <c r="G48" s="3" t="s">
        <v>652</v>
      </c>
      <c r="H48" s="3" t="s">
        <v>2152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2142</v>
      </c>
      <c r="G49" s="3" t="s">
        <v>652</v>
      </c>
      <c r="H49" s="3" t="s">
        <v>2152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2142</v>
      </c>
      <c r="G50" s="3" t="s">
        <v>652</v>
      </c>
      <c r="H50" s="3" t="s">
        <v>2152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2142</v>
      </c>
      <c r="G51" s="3" t="s">
        <v>652</v>
      </c>
      <c r="H51" s="3" t="s">
        <v>2152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2142</v>
      </c>
      <c r="G52" s="3" t="s">
        <v>652</v>
      </c>
      <c r="H52" s="3" t="s">
        <v>2152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2142</v>
      </c>
      <c r="G53" s="3" t="s">
        <v>652</v>
      </c>
      <c r="H53" s="3" t="s">
        <v>2152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2142</v>
      </c>
      <c r="G54" s="3" t="s">
        <v>652</v>
      </c>
      <c r="H54" s="3" t="s">
        <v>2152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2142</v>
      </c>
      <c r="G55" s="3" t="s">
        <v>652</v>
      </c>
      <c r="H55" s="3" t="s">
        <v>2152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2142</v>
      </c>
      <c r="G56" s="3" t="s">
        <v>652</v>
      </c>
      <c r="H56" s="3" t="s">
        <v>2152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2142</v>
      </c>
      <c r="G57" s="3" t="s">
        <v>652</v>
      </c>
      <c r="H57" s="3" t="s">
        <v>2152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2142</v>
      </c>
      <c r="G58" s="3" t="s">
        <v>652</v>
      </c>
      <c r="H58" s="3" t="s">
        <v>2152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2142</v>
      </c>
      <c r="G59" s="3" t="s">
        <v>652</v>
      </c>
      <c r="H59" s="3" t="s">
        <v>2152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2142</v>
      </c>
      <c r="G60" s="3" t="s">
        <v>652</v>
      </c>
      <c r="H60" s="3" t="s">
        <v>2152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2142</v>
      </c>
      <c r="G61" s="3" t="s">
        <v>652</v>
      </c>
      <c r="H61" s="3" t="s">
        <v>2152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2142</v>
      </c>
      <c r="G62" s="3" t="s">
        <v>652</v>
      </c>
      <c r="H62" s="3" t="s">
        <v>2152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2142</v>
      </c>
      <c r="G63" s="3" t="s">
        <v>652</v>
      </c>
      <c r="H63" s="3" t="s">
        <v>2152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2142</v>
      </c>
      <c r="G64" s="3" t="s">
        <v>652</v>
      </c>
      <c r="H64" s="3" t="s">
        <v>2152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2142</v>
      </c>
      <c r="G65" s="3" t="s">
        <v>652</v>
      </c>
      <c r="H65" s="3" t="s">
        <v>2152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2142</v>
      </c>
      <c r="G66" s="3" t="s">
        <v>652</v>
      </c>
      <c r="H66" s="3" t="s">
        <v>2152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2142</v>
      </c>
      <c r="G67" s="3" t="s">
        <v>652</v>
      </c>
      <c r="H67" s="3" t="s">
        <v>2152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2142</v>
      </c>
      <c r="G68" s="3" t="s">
        <v>652</v>
      </c>
      <c r="H68" s="3" t="s">
        <v>2152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2142</v>
      </c>
      <c r="G69" s="3" t="s">
        <v>652</v>
      </c>
      <c r="H69" s="3" t="s">
        <v>2152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2142</v>
      </c>
      <c r="G70" s="3" t="s">
        <v>652</v>
      </c>
      <c r="H70" s="3" t="s">
        <v>2152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2142</v>
      </c>
      <c r="G71" s="3" t="s">
        <v>652</v>
      </c>
      <c r="H71" s="3" t="s">
        <v>2152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2142</v>
      </c>
      <c r="G72" s="3" t="s">
        <v>652</v>
      </c>
      <c r="H72" s="3" t="s">
        <v>2152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2142</v>
      </c>
      <c r="G73" s="3" t="s">
        <v>652</v>
      </c>
      <c r="H73" s="3" t="s">
        <v>2152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2142</v>
      </c>
      <c r="G74" s="3" t="s">
        <v>652</v>
      </c>
      <c r="H74" s="3" t="s">
        <v>2152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2142</v>
      </c>
      <c r="G75" s="3" t="s">
        <v>652</v>
      </c>
      <c r="H75" s="3" t="s">
        <v>2152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2142</v>
      </c>
      <c r="G76" s="3" t="s">
        <v>652</v>
      </c>
      <c r="H76" s="3" t="s">
        <v>2152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2142</v>
      </c>
      <c r="G77" s="3" t="s">
        <v>652</v>
      </c>
      <c r="H77" s="3" t="s">
        <v>2152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2142</v>
      </c>
      <c r="G78" s="3" t="s">
        <v>652</v>
      </c>
      <c r="H78" s="3" t="s">
        <v>2152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2142</v>
      </c>
      <c r="G79" s="3" t="s">
        <v>652</v>
      </c>
      <c r="H79" s="3" t="s">
        <v>2152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2142</v>
      </c>
      <c r="G80" s="3" t="s">
        <v>652</v>
      </c>
      <c r="H80" s="3" t="s">
        <v>2152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2142</v>
      </c>
      <c r="G81" s="3" t="s">
        <v>652</v>
      </c>
      <c r="H81" s="3" t="s">
        <v>2152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2142</v>
      </c>
      <c r="G82" s="3" t="s">
        <v>652</v>
      </c>
      <c r="H82" s="3" t="s">
        <v>2152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2142</v>
      </c>
      <c r="G83" s="3" t="s">
        <v>652</v>
      </c>
      <c r="H83" s="3" t="s">
        <v>2152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2142</v>
      </c>
      <c r="G84" s="3" t="s">
        <v>652</v>
      </c>
      <c r="H84" s="3" t="s">
        <v>2152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2142</v>
      </c>
      <c r="G85" s="3" t="s">
        <v>652</v>
      </c>
      <c r="H85" s="3" t="s">
        <v>2152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2142</v>
      </c>
      <c r="G86" s="3" t="s">
        <v>652</v>
      </c>
      <c r="H86" s="3" t="s">
        <v>2152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2142</v>
      </c>
      <c r="G87" s="3" t="s">
        <v>652</v>
      </c>
      <c r="H87" s="3" t="s">
        <v>2152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2142</v>
      </c>
      <c r="G88" s="3" t="s">
        <v>652</v>
      </c>
      <c r="H88" s="3" t="s">
        <v>2152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2142</v>
      </c>
      <c r="G89" s="3" t="s">
        <v>652</v>
      </c>
      <c r="H89" s="3" t="s">
        <v>2152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2142</v>
      </c>
      <c r="G90" s="3" t="s">
        <v>652</v>
      </c>
      <c r="H90" s="3" t="s">
        <v>2152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2142</v>
      </c>
      <c r="G91" s="3" t="s">
        <v>652</v>
      </c>
      <c r="H91" s="3" t="s">
        <v>2152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2142</v>
      </c>
      <c r="G92" s="3" t="s">
        <v>652</v>
      </c>
      <c r="H92" s="3" t="s">
        <v>2152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2142</v>
      </c>
      <c r="G93" s="3" t="s">
        <v>652</v>
      </c>
      <c r="H93" s="3" t="s">
        <v>2152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2142</v>
      </c>
      <c r="G94" s="3" t="s">
        <v>652</v>
      </c>
      <c r="H94" s="3" t="s">
        <v>2152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2142</v>
      </c>
      <c r="G95" s="3" t="s">
        <v>652</v>
      </c>
      <c r="H95" s="3" t="s">
        <v>2152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2142</v>
      </c>
      <c r="G96" s="3" t="s">
        <v>652</v>
      </c>
      <c r="H96" s="3" t="s">
        <v>2152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2142</v>
      </c>
      <c r="G97" s="3" t="s">
        <v>652</v>
      </c>
      <c r="H97" s="3" t="s">
        <v>2152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2142</v>
      </c>
      <c r="G98" s="3" t="s">
        <v>652</v>
      </c>
      <c r="H98" s="3" t="s">
        <v>2152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2142</v>
      </c>
      <c r="G99" s="3" t="s">
        <v>652</v>
      </c>
      <c r="H99" s="3" t="s">
        <v>2152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2142</v>
      </c>
      <c r="G100" s="3" t="s">
        <v>652</v>
      </c>
      <c r="H100" s="3" t="s">
        <v>2152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2142</v>
      </c>
      <c r="G101" s="3" t="s">
        <v>652</v>
      </c>
      <c r="H101" s="3" t="s">
        <v>2152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2142</v>
      </c>
      <c r="G102" s="3" t="s">
        <v>652</v>
      </c>
      <c r="H102" s="3" t="s">
        <v>2152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2142</v>
      </c>
      <c r="G103" s="3" t="s">
        <v>652</v>
      </c>
      <c r="H103" s="3" t="s">
        <v>2164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2142</v>
      </c>
      <c r="G104" s="3" t="s">
        <v>652</v>
      </c>
      <c r="H104" s="3" t="s">
        <v>2152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2142</v>
      </c>
      <c r="G105" s="3" t="s">
        <v>652</v>
      </c>
      <c r="H105" s="3" t="s">
        <v>2152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2142</v>
      </c>
      <c r="G106" s="3" t="s">
        <v>652</v>
      </c>
      <c r="H106" s="3" t="s">
        <v>2152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2142</v>
      </c>
      <c r="G107" s="3" t="s">
        <v>652</v>
      </c>
      <c r="H107" s="3" t="s">
        <v>2152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2142</v>
      </c>
      <c r="G108" s="3" t="s">
        <v>652</v>
      </c>
      <c r="H108" s="3" t="s">
        <v>2152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2142</v>
      </c>
      <c r="G109" s="3" t="s">
        <v>652</v>
      </c>
      <c r="H109" s="3" t="s">
        <v>2152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2142</v>
      </c>
      <c r="G110" s="3" t="s">
        <v>652</v>
      </c>
      <c r="H110" s="3" t="s">
        <v>2152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2142</v>
      </c>
      <c r="G111" s="3" t="s">
        <v>652</v>
      </c>
      <c r="H111" s="3" t="s">
        <v>2152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2142</v>
      </c>
      <c r="G112" s="3" t="s">
        <v>652</v>
      </c>
      <c r="H112" s="3" t="s">
        <v>2152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2142</v>
      </c>
      <c r="G113" s="3" t="s">
        <v>652</v>
      </c>
      <c r="H113" s="3" t="s">
        <v>2152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2142</v>
      </c>
      <c r="G114" s="3" t="s">
        <v>652</v>
      </c>
      <c r="H114" s="3" t="s">
        <v>2152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2142</v>
      </c>
      <c r="G115" s="3" t="s">
        <v>652</v>
      </c>
      <c r="H115" s="3" t="s">
        <v>2152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2142</v>
      </c>
      <c r="G116" s="3" t="s">
        <v>652</v>
      </c>
      <c r="H116" s="3" t="s">
        <v>2152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2142</v>
      </c>
      <c r="G117" s="3" t="s">
        <v>652</v>
      </c>
      <c r="H117" s="3" t="s">
        <v>2152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2142</v>
      </c>
      <c r="G118" s="3" t="s">
        <v>652</v>
      </c>
      <c r="H118" s="3" t="s">
        <v>2152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2142</v>
      </c>
      <c r="G119" s="3" t="s">
        <v>652</v>
      </c>
      <c r="H119" s="3" t="s">
        <v>2152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2142</v>
      </c>
      <c r="G120" s="3" t="s">
        <v>652</v>
      </c>
      <c r="H120" s="3" t="s">
        <v>2152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2142</v>
      </c>
      <c r="G121" s="3" t="s">
        <v>652</v>
      </c>
      <c r="H121" s="3" t="s">
        <v>2152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2142</v>
      </c>
      <c r="G122" s="3" t="s">
        <v>652</v>
      </c>
      <c r="H122" s="3" t="s">
        <v>2152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2142</v>
      </c>
      <c r="G123" s="3" t="s">
        <v>652</v>
      </c>
      <c r="H123" s="3" t="s">
        <v>2152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2142</v>
      </c>
      <c r="G124" s="3" t="s">
        <v>652</v>
      </c>
      <c r="H124" s="3" t="s">
        <v>2152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2142</v>
      </c>
      <c r="G125" s="3" t="s">
        <v>652</v>
      </c>
      <c r="H125" s="3" t="s">
        <v>2152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2142</v>
      </c>
      <c r="G126" s="3" t="s">
        <v>652</v>
      </c>
      <c r="H126" s="3" t="s">
        <v>2152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2142</v>
      </c>
      <c r="G127" s="3" t="s">
        <v>652</v>
      </c>
      <c r="H127" s="3" t="s">
        <v>2152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2142</v>
      </c>
      <c r="G128" s="3" t="s">
        <v>652</v>
      </c>
      <c r="H128" s="3" t="s">
        <v>2152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2142</v>
      </c>
      <c r="G129" s="3" t="s">
        <v>652</v>
      </c>
      <c r="H129" s="3" t="s">
        <v>2152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2142</v>
      </c>
      <c r="G130" s="3" t="s">
        <v>652</v>
      </c>
      <c r="H130" s="3" t="s">
        <v>2152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2142</v>
      </c>
      <c r="G131" s="3" t="s">
        <v>652</v>
      </c>
      <c r="H131" s="3" t="s">
        <v>2152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2142</v>
      </c>
      <c r="G132" s="3" t="s">
        <v>652</v>
      </c>
      <c r="H132" s="3" t="s">
        <v>2152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2142</v>
      </c>
      <c r="G133" s="3" t="s">
        <v>652</v>
      </c>
      <c r="H133" s="3" t="s">
        <v>2152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2142</v>
      </c>
      <c r="G134" s="3" t="s">
        <v>652</v>
      </c>
      <c r="H134" s="3" t="s">
        <v>2152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2142</v>
      </c>
      <c r="G135" s="3" t="s">
        <v>652</v>
      </c>
      <c r="H135" s="3" t="s">
        <v>2152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2142</v>
      </c>
      <c r="G136" s="3" t="s">
        <v>652</v>
      </c>
      <c r="H136" s="3" t="s">
        <v>2152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47" t="s">
        <v>2142</v>
      </c>
      <c r="G137" s="3" t="s">
        <v>652</v>
      </c>
      <c r="H137" s="3" t="s">
        <v>2152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2142</v>
      </c>
      <c r="G138" s="3" t="s">
        <v>652</v>
      </c>
      <c r="H138" s="3" t="s">
        <v>2152</v>
      </c>
      <c r="I138" s="3" t="s">
        <v>651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2142</v>
      </c>
      <c r="G139" s="3" t="s">
        <v>652</v>
      </c>
      <c r="H139" s="3" t="s">
        <v>2152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2142</v>
      </c>
      <c r="G140" s="3" t="s">
        <v>652</v>
      </c>
      <c r="H140" s="3" t="s">
        <v>2152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2142</v>
      </c>
      <c r="G141" s="3" t="s">
        <v>652</v>
      </c>
      <c r="H141" s="3" t="s">
        <v>2152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2142</v>
      </c>
      <c r="G142" s="3" t="s">
        <v>652</v>
      </c>
      <c r="H142" s="3" t="s">
        <v>2152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2142</v>
      </c>
      <c r="G143" s="3" t="s">
        <v>652</v>
      </c>
      <c r="H143" s="3" t="s">
        <v>2152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2142</v>
      </c>
      <c r="G144" s="3" t="s">
        <v>652</v>
      </c>
      <c r="H144" s="3" t="s">
        <v>2152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2142</v>
      </c>
      <c r="G145" s="3" t="s">
        <v>652</v>
      </c>
      <c r="H145" s="3" t="s">
        <v>2152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2142</v>
      </c>
      <c r="G146" s="3" t="s">
        <v>652</v>
      </c>
      <c r="H146" s="3" t="s">
        <v>2152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2142</v>
      </c>
      <c r="G147" s="3" t="s">
        <v>652</v>
      </c>
      <c r="H147" s="3" t="s">
        <v>2152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2142</v>
      </c>
      <c r="G148" s="3" t="s">
        <v>652</v>
      </c>
      <c r="H148" s="3" t="s">
        <v>2152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2142</v>
      </c>
      <c r="G149" s="3" t="s">
        <v>652</v>
      </c>
      <c r="H149" s="3" t="s">
        <v>2152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2142</v>
      </c>
      <c r="G150" s="3" t="s">
        <v>652</v>
      </c>
      <c r="H150" s="3" t="s">
        <v>2152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2142</v>
      </c>
      <c r="G151" s="3" t="s">
        <v>652</v>
      </c>
      <c r="H151" s="3" t="s">
        <v>2152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2142</v>
      </c>
      <c r="G152" s="3" t="s">
        <v>652</v>
      </c>
      <c r="H152" s="3" t="s">
        <v>2152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2142</v>
      </c>
      <c r="G153" s="3" t="s">
        <v>652</v>
      </c>
      <c r="H153" s="3" t="s">
        <v>2152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23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2223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2217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2218</v>
      </c>
    </row>
    <row r="6" spans="1:6" ht="37.799999999999997" customHeight="1" x14ac:dyDescent="0.3">
      <c r="A6" s="5" t="s">
        <v>1458</v>
      </c>
      <c r="B6" s="5" t="s">
        <v>2210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2210</v>
      </c>
      <c r="C7" s="5" t="str">
        <f>"'Same organ'"</f>
        <v>'Same organ'</v>
      </c>
      <c r="D7" s="5">
        <v>90</v>
      </c>
      <c r="E7" s="5">
        <v>2</v>
      </c>
      <c r="F7" s="5" t="s">
        <v>2217</v>
      </c>
    </row>
    <row r="8" spans="1:6" ht="37.799999999999997" customHeight="1" x14ac:dyDescent="0.3">
      <c r="A8" s="5" t="s">
        <v>1458</v>
      </c>
      <c r="B8" s="5" t="s">
        <v>2210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2210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2211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2211</v>
      </c>
      <c r="C11" s="5" t="str">
        <f>"'Same organ'"</f>
        <v>'Same organ'</v>
      </c>
      <c r="D11" s="5">
        <v>90</v>
      </c>
      <c r="E11" s="5">
        <v>2</v>
      </c>
      <c r="F11" s="5" t="s">
        <v>2218</v>
      </c>
    </row>
    <row r="12" spans="1:6" ht="37.799999999999997" customHeight="1" x14ac:dyDescent="0.3">
      <c r="A12" s="5" t="s">
        <v>1458</v>
      </c>
      <c r="B12" s="5" t="s">
        <v>2211</v>
      </c>
      <c r="C12" s="5" t="str">
        <f>"'Different'"</f>
        <v>'Different'</v>
      </c>
      <c r="D12" s="5">
        <v>0</v>
      </c>
      <c r="E12" s="5">
        <v>3</v>
      </c>
      <c r="F12" s="5" t="s">
        <v>2219</v>
      </c>
    </row>
    <row r="13" spans="1:6" ht="37.799999999999997" customHeight="1" x14ac:dyDescent="0.3">
      <c r="A13" s="5" t="s">
        <v>1458</v>
      </c>
      <c r="B13" s="5" t="s">
        <v>2212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2212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2212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2212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2212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2213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2213</v>
      </c>
      <c r="C19" s="16" t="str">
        <f>"'Same entity'"</f>
        <v>'Same entity'</v>
      </c>
      <c r="E19" s="5">
        <v>2</v>
      </c>
      <c r="F19" s="5" t="s">
        <v>2220</v>
      </c>
    </row>
    <row r="20" spans="1:6" ht="37.799999999999997" customHeight="1" x14ac:dyDescent="0.3">
      <c r="A20" s="5" t="s">
        <v>1458</v>
      </c>
      <c r="B20" s="5" t="s">
        <v>2213</v>
      </c>
      <c r="C20" s="5" t="str">
        <f>"'Different'"</f>
        <v>'Different'</v>
      </c>
      <c r="E20" s="5">
        <v>3</v>
      </c>
      <c r="F20" s="5" t="s">
        <v>2221</v>
      </c>
    </row>
    <row r="21" spans="1:6" ht="37.799999999999997" customHeight="1" x14ac:dyDescent="0.3">
      <c r="A21" s="5" t="s">
        <v>1458</v>
      </c>
      <c r="B21" s="5" t="s">
        <v>2214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2214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2215</v>
      </c>
      <c r="C23" s="5" t="str">
        <f>"'CandidateValue'"</f>
        <v>'CandidateValue'</v>
      </c>
      <c r="E23" s="5">
        <v>1</v>
      </c>
      <c r="F23" s="5" t="s">
        <v>2222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1" t="s">
        <v>1497</v>
      </c>
      <c r="H1" s="71"/>
      <c r="I1" s="71"/>
      <c r="J1" s="71"/>
      <c r="K1" s="71"/>
      <c r="L1" s="71" t="s">
        <v>1527</v>
      </c>
      <c r="M1" s="71"/>
      <c r="N1" s="71"/>
      <c r="O1" s="71"/>
      <c r="P1" s="71"/>
      <c r="Q1" s="71" t="s">
        <v>391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164</v>
      </c>
      <c r="AB1" s="71"/>
      <c r="AC1" s="71"/>
      <c r="AD1" s="71"/>
      <c r="AE1" s="71"/>
      <c r="AF1" s="70" t="s">
        <v>441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11</v>
      </c>
      <c r="AQ1" s="71"/>
      <c r="AR1" s="71"/>
      <c r="AS1" s="71"/>
      <c r="AT1" s="72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1" t="s">
        <v>391</v>
      </c>
      <c r="H1" s="71"/>
      <c r="I1" s="71"/>
      <c r="J1" s="71"/>
      <c r="K1" s="71"/>
      <c r="L1" s="70" t="s">
        <v>1506</v>
      </c>
      <c r="M1" s="71"/>
      <c r="N1" s="71"/>
      <c r="O1" s="71"/>
      <c r="P1" s="71"/>
      <c r="Q1" s="70" t="s">
        <v>1507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1508</v>
      </c>
      <c r="AB1" s="71"/>
      <c r="AC1" s="71"/>
      <c r="AD1" s="71"/>
      <c r="AE1" s="71"/>
      <c r="AF1" s="70" t="s">
        <v>164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1509</v>
      </c>
      <c r="AQ1" s="71"/>
      <c r="AR1" s="71"/>
      <c r="AS1" s="71"/>
      <c r="AT1" s="71"/>
      <c r="AU1" s="70" t="s">
        <v>11</v>
      </c>
      <c r="AV1" s="71"/>
      <c r="AW1" s="71"/>
      <c r="AX1" s="71"/>
      <c r="AY1" s="72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1" t="s">
        <v>186</v>
      </c>
      <c r="L1" s="71"/>
      <c r="M1" s="71"/>
      <c r="N1" s="71"/>
      <c r="O1" s="72"/>
      <c r="P1" s="20"/>
      <c r="Q1" s="70" t="s">
        <v>19</v>
      </c>
      <c r="R1" s="71"/>
      <c r="S1" s="71"/>
      <c r="T1" s="71"/>
      <c r="U1" s="72"/>
      <c r="V1" s="19"/>
      <c r="W1" s="70" t="s">
        <v>1507</v>
      </c>
      <c r="X1" s="71"/>
      <c r="Y1" s="71"/>
      <c r="Z1" s="71"/>
      <c r="AA1" s="71"/>
      <c r="AB1" s="19"/>
      <c r="AC1" s="70" t="s">
        <v>390</v>
      </c>
      <c r="AD1" s="71"/>
      <c r="AE1" s="71"/>
      <c r="AF1" s="71"/>
      <c r="AG1" s="71"/>
      <c r="AH1" s="70" t="s">
        <v>1508</v>
      </c>
      <c r="AI1" s="71"/>
      <c r="AJ1" s="71"/>
      <c r="AK1" s="71"/>
      <c r="AL1" s="71"/>
      <c r="AM1" s="70" t="s">
        <v>164</v>
      </c>
      <c r="AN1" s="71"/>
      <c r="AO1" s="71"/>
      <c r="AP1" s="71"/>
      <c r="AQ1" s="71"/>
      <c r="AR1" s="70" t="s">
        <v>398</v>
      </c>
      <c r="AS1" s="71"/>
      <c r="AT1" s="71"/>
      <c r="AU1" s="71"/>
      <c r="AV1" s="71"/>
      <c r="AW1" s="70" t="s">
        <v>1509</v>
      </c>
      <c r="AX1" s="71"/>
      <c r="AY1" s="71"/>
      <c r="AZ1" s="71"/>
      <c r="BA1" s="71"/>
      <c r="BB1" s="70" t="s">
        <v>11</v>
      </c>
      <c r="BC1" s="71"/>
      <c r="BD1" s="71"/>
      <c r="BE1" s="71"/>
      <c r="BF1" s="72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Bastian Reiter</cp:lastModifiedBy>
  <dcterms:created xsi:type="dcterms:W3CDTF">2023-08-31T22:45:32Z</dcterms:created>
  <dcterms:modified xsi:type="dcterms:W3CDTF">2026-09-22T11:26:30Z</dcterms:modified>
</cp:coreProperties>
</file>