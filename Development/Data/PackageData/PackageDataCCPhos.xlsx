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PackageData\"/>
    </mc:Choice>
  </mc:AlternateContent>
  <xr:revisionPtr revIDLastSave="0" documentId="13_ncr:1_{3589F48B-9A2B-42EA-9A4B-3CAF0CD33459}" xr6:coauthVersionLast="47" xr6:coauthVersionMax="47" xr10:uidLastSave="{00000000-0000-0000-0000-000000000000}"/>
  <bookViews>
    <workbookView xWindow="-108" yWindow="-108" windowWidth="23256" windowHeight="12456" tabRatio="724" firstSheet="6" activeTab="8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FeatureRequirements" sheetId="23" r:id="rId11"/>
    <sheet name="Set.FeatureTracking" sheetId="26" r:id="rId12"/>
    <sheet name="Set.DataHarmonization" sheetId="32" r:id="rId13"/>
    <sheet name="Set.TransformativeExpressions" sheetId="15" r:id="rId14"/>
    <sheet name="Set.Dictionary" sheetId="38" r:id="rId15"/>
    <sheet name="Set.FuzzyStringMatching" sheetId="37" r:id="rId16"/>
    <sheet name="Set.DiagnosisRedundancy" sheetId="16" r:id="rId17"/>
    <sheet name="Set.DiagnosisAssociation" sheetId="17" r:id="rId18"/>
    <sheet name="ADS_Events" sheetId="31" r:id="rId19"/>
    <sheet name="TableNames_old" sheetId="13" r:id="rId20"/>
    <sheet name="FeatureNames_old" sheetId="12" r:id="rId21"/>
    <sheet name="FeatureNames_new" sheetId="18" r:id="rId22"/>
    <sheet name="DiagnosisRedundancy_old" sheetId="21" r:id="rId23"/>
    <sheet name="DiagnosisAssociation_old" sheetId="19" r:id="rId24"/>
    <sheet name="DiagnosisAssociation_Zwischenve" sheetId="20" r:id="rId25"/>
    <sheet name="ObligatoryFeatures_RDS" sheetId="22" r:id="rId26"/>
  </sheets>
  <definedNames>
    <definedName name="_xlnm._FilterDatabase" localSheetId="4" hidden="1">Meta.Values!$A$3:$K$1471</definedName>
    <definedName name="_xlnm._FilterDatabase" localSheetId="15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43" l="1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D4" i="35" s="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E1" i="1"/>
  <c r="D1" i="1"/>
  <c r="C1" i="1"/>
  <c r="B1" i="1"/>
  <c r="I4" i="40" l="1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95" i="38"/>
  <c r="E94" i="38"/>
  <c r="E93" i="38" l="1"/>
  <c r="D87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82" i="1"/>
  <c r="C1056" i="1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94" i="38" s="1"/>
  <c r="D25" i="8"/>
  <c r="D26" i="8"/>
  <c r="D27" i="8"/>
  <c r="D28" i="8"/>
  <c r="D29" i="8"/>
  <c r="D30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B727" i="1" s="1"/>
  <c r="D129" i="8"/>
  <c r="D130" i="8"/>
  <c r="D131" i="8"/>
  <c r="D132" i="8"/>
  <c r="D133" i="8"/>
  <c r="D134" i="8"/>
  <c r="D135" i="8"/>
  <c r="D136" i="8"/>
  <c r="D137" i="8"/>
  <c r="D138" i="8"/>
  <c r="C76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D41" i="38" l="1"/>
  <c r="D31" i="37"/>
  <c r="D88" i="38"/>
  <c r="D95" i="38"/>
  <c r="D11" i="38"/>
  <c r="D86" i="38"/>
  <c r="D94" i="38"/>
  <c r="D65" i="38"/>
  <c r="D85" i="38"/>
  <c r="E727" i="1"/>
  <c r="D73" i="38"/>
  <c r="D84" i="38"/>
  <c r="D727" i="1"/>
  <c r="D72" i="38"/>
  <c r="D83" i="38"/>
  <c r="C727" i="1"/>
  <c r="D71" i="38"/>
  <c r="D82" i="38"/>
  <c r="D70" i="38"/>
  <c r="D81" i="38"/>
  <c r="D69" i="38"/>
  <c r="D80" i="38"/>
  <c r="D68" i="38"/>
  <c r="D79" i="38"/>
  <c r="D67" i="38"/>
  <c r="D78" i="38"/>
  <c r="C31" i="37"/>
  <c r="D66" i="38"/>
  <c r="D77" i="38"/>
  <c r="D92" i="38"/>
  <c r="D76" i="38"/>
  <c r="D31" i="26"/>
  <c r="D91" i="38"/>
  <c r="D75" i="38"/>
  <c r="E31" i="32"/>
  <c r="D90" i="38"/>
  <c r="D74" i="38"/>
  <c r="D31" i="32"/>
  <c r="D89" i="38"/>
  <c r="D93" i="38"/>
  <c r="C31" i="23"/>
  <c r="C72" i="38"/>
  <c r="C91" i="38"/>
  <c r="C83" i="38"/>
  <c r="C75" i="38"/>
  <c r="C31" i="26"/>
  <c r="C71" i="38"/>
  <c r="C90" i="38"/>
  <c r="C82" i="38"/>
  <c r="C74" i="38"/>
  <c r="C70" i="38"/>
  <c r="C89" i="38"/>
  <c r="C81" i="38"/>
  <c r="C93" i="38"/>
  <c r="C31" i="32"/>
  <c r="C69" i="38"/>
  <c r="C88" i="38"/>
  <c r="C80" i="38"/>
  <c r="C95" i="38"/>
  <c r="C68" i="38"/>
  <c r="C87" i="38"/>
  <c r="C79" i="38"/>
  <c r="B157" i="1"/>
  <c r="C10" i="38"/>
  <c r="C67" i="38"/>
  <c r="C86" i="38"/>
  <c r="C78" i="38"/>
  <c r="C65" i="38"/>
  <c r="C66" i="38"/>
  <c r="C85" i="38"/>
  <c r="C77" i="38"/>
  <c r="C73" i="38"/>
  <c r="C92" i="38"/>
  <c r="C84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8" i="1"/>
  <c r="B1469" i="1"/>
  <c r="D1469" i="1"/>
  <c r="B1432" i="1"/>
  <c r="E1469" i="1"/>
  <c r="C1469" i="1"/>
  <c r="E1423" i="1"/>
  <c r="B552" i="1"/>
  <c r="B1422" i="1"/>
  <c r="B1415" i="1"/>
  <c r="E1470" i="1"/>
  <c r="B1403" i="1"/>
  <c r="E1468" i="1"/>
  <c r="E1462" i="1"/>
  <c r="E1395" i="1"/>
  <c r="D1468" i="1"/>
  <c r="E1458" i="1"/>
  <c r="E125" i="1"/>
  <c r="E1457" i="1"/>
  <c r="B1384" i="1"/>
  <c r="B1468" i="1"/>
  <c r="B519" i="1"/>
  <c r="B613" i="1"/>
  <c r="B253" i="1"/>
  <c r="B1391" i="1"/>
  <c r="B658" i="1"/>
  <c r="E1456" i="1"/>
  <c r="E1383" i="1"/>
  <c r="E1467" i="1"/>
  <c r="B641" i="1"/>
  <c r="B1455" i="1"/>
  <c r="B1378" i="1"/>
  <c r="D1467" i="1"/>
  <c r="E1453" i="1"/>
  <c r="B1340" i="1"/>
  <c r="C1467" i="1"/>
  <c r="E1333" i="1"/>
  <c r="B1467" i="1"/>
  <c r="B1442" i="1"/>
  <c r="B1459" i="1"/>
  <c r="B1441" i="1"/>
  <c r="B1309" i="1"/>
  <c r="E1466" i="1"/>
  <c r="B1285" i="1"/>
  <c r="E1440" i="1"/>
  <c r="B1302" i="1"/>
  <c r="D1466" i="1"/>
  <c r="B653" i="1"/>
  <c r="B1435" i="1"/>
  <c r="B1296" i="1"/>
  <c r="C1466" i="1"/>
  <c r="B1447" i="1"/>
  <c r="B639" i="1"/>
  <c r="B1470" i="1"/>
  <c r="B1428" i="1"/>
  <c r="B1269" i="1"/>
  <c r="B1466" i="1"/>
  <c r="B1282" i="1"/>
  <c r="E1439" i="1"/>
  <c r="D1439" i="1"/>
  <c r="C1439" i="1"/>
  <c r="B1439" i="1"/>
  <c r="E1408" i="1"/>
  <c r="E1280" i="1"/>
  <c r="E1272" i="1"/>
  <c r="E1449" i="1"/>
  <c r="E1393" i="1"/>
  <c r="E1445" i="1"/>
  <c r="E1294" i="1"/>
  <c r="E1435" i="1"/>
  <c r="E1376" i="1"/>
  <c r="D1294" i="1"/>
  <c r="C1294" i="1"/>
  <c r="E1431" i="1"/>
  <c r="E1336" i="1"/>
  <c r="B1294" i="1"/>
  <c r="E1429" i="1"/>
  <c r="E1379" i="1"/>
  <c r="B1235" i="1"/>
  <c r="E1211" i="1"/>
  <c r="E1452" i="1"/>
  <c r="E1411" i="1"/>
  <c r="E1328" i="1"/>
  <c r="D1211" i="1"/>
  <c r="E1409" i="1"/>
  <c r="E1324" i="1"/>
  <c r="C1211" i="1"/>
  <c r="E1446" i="1"/>
  <c r="B1409" i="1"/>
  <c r="B1321" i="1"/>
  <c r="B1211" i="1"/>
  <c r="D1437" i="1"/>
  <c r="D1281" i="1"/>
  <c r="E1323" i="1"/>
  <c r="D1457" i="1"/>
  <c r="E1404" i="1"/>
  <c r="E1375" i="1"/>
  <c r="E1267" i="1"/>
  <c r="E1428" i="1"/>
  <c r="E1365" i="1"/>
  <c r="D1320" i="1"/>
  <c r="E1401" i="1"/>
  <c r="E1364" i="1"/>
  <c r="E1319" i="1"/>
  <c r="E1234" i="1"/>
  <c r="E1448" i="1"/>
  <c r="E1427" i="1"/>
  <c r="E1400" i="1"/>
  <c r="E1363" i="1"/>
  <c r="E1315" i="1"/>
  <c r="E1228" i="1"/>
  <c r="D1447" i="1"/>
  <c r="E1425" i="1"/>
  <c r="E1397" i="1"/>
  <c r="E1359" i="1"/>
  <c r="E1312" i="1"/>
  <c r="E1224" i="1"/>
  <c r="E1357" i="1"/>
  <c r="E1220" i="1"/>
  <c r="D1355" i="1"/>
  <c r="E1219" i="1"/>
  <c r="E1465" i="1"/>
  <c r="E1444" i="1"/>
  <c r="E1421" i="1"/>
  <c r="E1392" i="1"/>
  <c r="E1353" i="1"/>
  <c r="D1300" i="1"/>
  <c r="D1171" i="1"/>
  <c r="D1417" i="1"/>
  <c r="E1348" i="1"/>
  <c r="E1299" i="1"/>
  <c r="D728" i="1"/>
  <c r="E1461" i="1"/>
  <c r="E1441" i="1"/>
  <c r="E1388" i="1"/>
  <c r="E1460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6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6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5" i="1"/>
  <c r="D1455" i="1"/>
  <c r="D1435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6" i="1"/>
  <c r="D1464" i="1"/>
  <c r="D1445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3" i="1"/>
  <c r="D1454" i="1"/>
  <c r="D1434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0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2" i="1"/>
  <c r="D1453" i="1"/>
  <c r="D1443" i="1"/>
  <c r="D1432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2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3" i="1"/>
  <c r="D1461" i="1"/>
  <c r="D1452" i="1"/>
  <c r="D1431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1" i="1"/>
  <c r="D1430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4" i="1"/>
  <c r="D1460" i="1"/>
  <c r="D1450" i="1"/>
  <c r="D1441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59" i="1"/>
  <c r="D1429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49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8" i="1"/>
  <c r="D1440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8" i="1"/>
  <c r="D1471" i="1"/>
  <c r="D1448" i="1"/>
  <c r="D1438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1" i="1"/>
  <c r="E183" i="1"/>
  <c r="D168" i="1"/>
  <c r="D151" i="1"/>
  <c r="D131" i="1"/>
  <c r="D110" i="1"/>
  <c r="D84" i="1"/>
  <c r="D41" i="1"/>
  <c r="C1457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2" i="1"/>
  <c r="B1454" i="1"/>
  <c r="B1450" i="1"/>
  <c r="B1451" i="1"/>
  <c r="B1445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7" i="1"/>
  <c r="B1437" i="1"/>
  <c r="B1430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2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4" i="1"/>
  <c r="B1436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6" i="1"/>
  <c r="B1429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1" i="1"/>
  <c r="B1461" i="1"/>
  <c r="B1449" i="1"/>
  <c r="B1443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0" i="1"/>
  <c r="B1448" i="1"/>
  <c r="B1434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3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5" i="1"/>
  <c r="B1453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4" i="1"/>
  <c r="B1458" i="1"/>
  <c r="B1446" i="1"/>
  <c r="B1440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3" i="1"/>
  <c r="B1438" i="1"/>
  <c r="B1431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5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0" i="1"/>
  <c r="C1216" i="1"/>
  <c r="C425" i="1"/>
  <c r="C273" i="1"/>
  <c r="C1455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8" i="1"/>
  <c r="C1446" i="1"/>
  <c r="C1463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2" i="1"/>
  <c r="C1459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3" i="1"/>
  <c r="C1451" i="1"/>
  <c r="C1464" i="1"/>
  <c r="C1348" i="1"/>
  <c r="C1365" i="1"/>
  <c r="C1382" i="1"/>
  <c r="C1412" i="1"/>
  <c r="C1429" i="1"/>
  <c r="C1447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8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5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0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3" i="1"/>
  <c r="C1456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2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4" i="1"/>
  <c r="C1448" i="1"/>
  <c r="C162" i="1"/>
  <c r="C184" i="1"/>
  <c r="C1441" i="1"/>
  <c r="C1260" i="1"/>
  <c r="C1085" i="1"/>
  <c r="C980" i="1"/>
  <c r="C452" i="1"/>
  <c r="C1303" i="1"/>
  <c r="C1148" i="1"/>
  <c r="C1091" i="1"/>
  <c r="C1025" i="1"/>
  <c r="C544" i="1"/>
  <c r="C202" i="1"/>
  <c r="C90" i="1"/>
  <c r="C1461" i="1"/>
  <c r="C1241" i="1"/>
  <c r="C1204" i="1"/>
  <c r="C1127" i="1"/>
  <c r="C513" i="1"/>
  <c r="C394" i="1"/>
  <c r="C1470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4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7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0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4" i="1"/>
  <c r="C1431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5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2" i="1"/>
  <c r="C1215" i="1"/>
  <c r="C576" i="1"/>
  <c r="C434" i="1"/>
  <c r="C175" i="1"/>
  <c r="C1449" i="1"/>
  <c r="C1458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3" i="1"/>
  <c r="C1436" i="1"/>
  <c r="C1358" i="1"/>
  <c r="C1272" i="1"/>
  <c r="C1169" i="1"/>
  <c r="C931" i="1"/>
  <c r="C1462" i="1"/>
  <c r="C1430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3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4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7" i="1"/>
  <c r="E1420" i="1"/>
  <c r="E1403" i="1"/>
  <c r="E1373" i="1"/>
  <c r="E1356" i="1"/>
  <c r="E1339" i="1"/>
  <c r="E1442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0" i="1"/>
  <c r="E1434" i="1"/>
  <c r="E1438" i="1"/>
  <c r="E1443" i="1"/>
  <c r="E1447" i="1"/>
  <c r="E1451" i="1"/>
  <c r="E1455" i="1"/>
  <c r="E1459" i="1"/>
  <c r="E1463" i="1"/>
  <c r="E1471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0" i="1"/>
  <c r="E1432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4" i="1"/>
  <c r="E1436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5" i="38"/>
  <c r="D63" i="38"/>
  <c r="D77" i="26"/>
  <c r="E66" i="26"/>
  <c r="D62" i="38"/>
  <c r="D54" i="38"/>
  <c r="D61" i="38"/>
  <c r="D53" i="38"/>
  <c r="C144" i="23"/>
  <c r="E49" i="26"/>
  <c r="C95" i="26"/>
  <c r="C141" i="23"/>
  <c r="E40" i="26"/>
  <c r="D120" i="26"/>
  <c r="D99" i="26"/>
  <c r="D94" i="26"/>
  <c r="C137" i="23"/>
  <c r="E37" i="26"/>
  <c r="D60" i="38"/>
  <c r="D52" i="38"/>
  <c r="D82" i="26"/>
  <c r="C131" i="23"/>
  <c r="E23" i="26"/>
  <c r="D59" i="38"/>
  <c r="D51" i="38"/>
  <c r="D48" i="38"/>
  <c r="D58" i="38"/>
  <c r="D47" i="38"/>
  <c r="C91" i="23"/>
  <c r="D77" i="23"/>
  <c r="C76" i="23"/>
  <c r="D144" i="26"/>
  <c r="D65" i="26"/>
  <c r="D73" i="23"/>
  <c r="D57" i="38"/>
  <c r="D152" i="26"/>
  <c r="D149" i="26"/>
  <c r="D69" i="26"/>
  <c r="D141" i="26"/>
  <c r="D34" i="26"/>
  <c r="D72" i="23"/>
  <c r="D46" i="38"/>
  <c r="C78" i="26"/>
  <c r="D72" i="26"/>
  <c r="C137" i="26"/>
  <c r="D29" i="26"/>
  <c r="D64" i="38"/>
  <c r="D56" i="38"/>
  <c r="C125" i="23"/>
  <c r="D133" i="26"/>
  <c r="D25" i="26"/>
  <c r="D123" i="26"/>
  <c r="D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7" i="38"/>
  <c r="C143" i="23"/>
  <c r="C98" i="37"/>
  <c r="C49" i="37"/>
  <c r="C106" i="26"/>
  <c r="C116" i="23"/>
  <c r="C27" i="23"/>
  <c r="C150" i="23"/>
  <c r="C18" i="37"/>
  <c r="C86" i="37"/>
  <c r="C43" i="38"/>
  <c r="C83" i="23"/>
  <c r="C122" i="26"/>
  <c r="C123" i="26"/>
  <c r="C139" i="23"/>
  <c r="C37" i="15"/>
  <c r="C153" i="26"/>
  <c r="C46" i="37"/>
  <c r="C21" i="23"/>
  <c r="C138" i="26"/>
  <c r="C140" i="26"/>
  <c r="C70" i="37"/>
  <c r="C61" i="38"/>
  <c r="C64" i="32"/>
  <c r="C46" i="32"/>
  <c r="C50" i="37"/>
  <c r="C49" i="32"/>
  <c r="C126" i="37"/>
  <c r="C83" i="37"/>
  <c r="C140" i="37"/>
  <c r="C59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C69" i="26"/>
  <c r="C69" i="37"/>
  <c r="C120" i="37"/>
  <c r="C120" i="26"/>
  <c r="C22" i="37"/>
  <c r="C22" i="32"/>
  <c r="C20" i="26"/>
  <c r="C20" i="37"/>
  <c r="C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2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<sst xmlns="http://schemas.openxmlformats.org/spreadsheetml/2006/main" count="10169" uniqueCount="2490">
  <si>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</si>
  <si>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</si>
  <si>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</si>
  <si>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</si>
  <si>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</si>
  <si>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</si>
  <si>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</si>
  <si>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</si>
  <si>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</si>
  <si>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</si>
  <si>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</si>
  <si>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</si>
  <si>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</si>
  <si>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</si>
  <si>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</si>
  <si>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</si>
  <si>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</si>
  <si>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</si>
  <si>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</si>
  <si>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</si>
  <si>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</si>
  <si>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</si>
  <si>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</si>
  <si>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</si>
  <si>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</si>
  <si>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</si>
  <si>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</si>
  <si>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</si>
  <si>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</si>
  <si>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</si>
  <si>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</si>
  <si>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</si>
  <si>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</si>
  <si>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</si>
  <si>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</si>
  <si>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</si>
  <si>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</si>
  <si>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</si>
  <si>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</si>
  <si>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</si>
  <si>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</si>
  <si>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</si>
  <si>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</si>
  <si>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</si>
  <si>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</si>
  <si>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</si>
  <si>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</si>
  <si>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</si>
  <si>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</si>
  <si>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</si>
  <si>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</si>
  <si>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</si>
  <si>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</si>
  <si>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</si>
  <si>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</si>
  <si>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</si>
  <si>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</si>
  <si>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</si>
  <si>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</si>
  <si>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</si>
  <si>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</si>
  <si>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</si>
  <si>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</si>
  <si>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</si>
  <si>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</si>
  <si>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</si>
  <si>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</si>
  <si>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</si>
  <si>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</si>
  <si>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</si>
  <si>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</si>
  <si>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</si>
  <si>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</si>
  <si>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</si>
  <si>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</si>
  <si>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</si>
  <si>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</si>
  <si>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</si>
  <si>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</si>
  <si>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</si>
  <si>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</si>
  <si>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</si>
  <si>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</si>
  <si>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</si>
  <si>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</si>
  <si>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</si>
  <si>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</si>
  <si>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</si>
  <si>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</si>
  <si>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</si>
  <si>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</si>
  <si>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</si>
  <si>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</si>
  <si>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</si>
  <si>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</si>
  <si>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</si>
  <si>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</si>
  <si>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</si>
  <si>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</si>
  <si>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</si>
  <si>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</si>
  <si>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</si>
  <si>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</si>
  <si>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</si>
  <si>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</si>
  <si>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</si>
  <si>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</si>
  <si>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</si>
  <si>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</si>
  <si>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</si>
  <si>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</si>
  <si>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</si>
  <si>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</si>
  <si>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</si>
  <si>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</si>
  <si>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</si>
  <si>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</si>
  <si>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</si>
  <si>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</si>
  <si>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</si>
  <si>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</si>
  <si>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</si>
  <si>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</si>
  <si>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</si>
  <si>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</si>
  <si>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</si>
  <si>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</si>
  <si>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</si>
  <si>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</si>
  <si>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</si>
  <si>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</si>
  <si>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</si>
  <si>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</si>
  <si>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</si>
  <si>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</si>
  <si>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</si>
  <si>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</si>
  <si>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</si>
  <si>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</si>
  <si>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</si>
  <si>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</si>
  <si>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</si>
  <si>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</si>
  <si>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</si>
  <si>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</si>
  <si>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</si>
  <si>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</si>
  <si>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</si>
  <si>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</si>
  <si>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</si>
  <si>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</si>
  <si>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</si>
  <si>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</si>
  <si>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</si>
  <si>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</si>
  <si>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</si>
  <si>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</si>
  <si>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</si>
  <si>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</si>
  <si>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</si>
  <si>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</si>
  <si>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</si>
  <si>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</si>
  <si>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</si>
  <si>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</si>
  <si>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</si>
  <si>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</si>
  <si>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</si>
  <si>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</si>
  <si>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</si>
  <si>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</si>
  <si>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</si>
  <si>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</si>
  <si>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</si>
  <si>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</si>
  <si>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</si>
  <si>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</si>
  <si>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</si>
  <si>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</si>
  <si>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</si>
  <si>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</si>
  <si>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</si>
  <si>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</si>
  <si>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</si>
  <si>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</si>
  <si>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</si>
  <si>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</si>
  <si>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</si>
  <si>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</si>
  <si>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</si>
  <si>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</si>
  <si>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</si>
  <si>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</si>
  <si>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</si>
  <si>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</si>
  <si>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</si>
  <si>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</si>
  <si>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</si>
  <si>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</si>
  <si>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</si>
  <si>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</si>
  <si>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</si>
  <si>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</si>
  <si>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</si>
  <si>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</si>
  <si>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</si>
  <si>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</si>
  <si>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</si>
  <si>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</si>
  <si>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</si>
  <si>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</si>
  <si>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</si>
  <si>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</si>
  <si>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</si>
  <si>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</si>
  <si>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</si>
  <si>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</si>
  <si>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</si>
  <si>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</si>
  <si>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</si>
  <si>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</si>
  <si>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</si>
  <si>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</si>
  <si>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</si>
  <si>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</si>
  <si>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</si>
  <si>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</si>
  <si>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</si>
  <si>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</si>
  <si>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</si>
  <si>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</si>
  <si>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</si>
  <si>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</si>
  <si>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</si>
  <si>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</si>
  <si>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</si>
  <si>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</si>
  <si>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</si>
  <si>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</si>
  <si>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</si>
  <si>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</si>
  <si>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</si>
  <si>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</si>
  <si>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</si>
  <si>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</si>
  <si>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</si>
  <si>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</si>
  <si>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</si>
  <si>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</si>
  <si>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</si>
  <si>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</si>
  <si>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</si>
  <si>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</si>
  <si>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</si>
  <si>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</si>
  <si>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</si>
  <si>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</si>
  <si>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</si>
  <si>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</si>
  <si>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</si>
  <si>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</si>
  <si>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</si>
  <si>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</si>
  <si>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</si>
  <si>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</si>
  <si>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</si>
  <si>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</si>
  <si>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</si>
  <si>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</si>
  <si>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</si>
  <si>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</si>
  <si>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</si>
  <si>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</si>
  <si>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</si>
  <si>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</si>
  <si>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</si>
  <si>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</si>
  <si>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</si>
  <si>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</si>
  <si>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</si>
  <si>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</si>
  <si>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</si>
  <si>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</si>
  <si>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</si>
  <si>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</si>
  <si>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</si>
  <si>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</si>
  <si>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</si>
  <si>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</si>
  <si>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</si>
  <si>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</si>
  <si>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</si>
  <si>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</si>
  <si>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</si>
  <si>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</si>
  <si>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</si>
  <si>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</si>
  <si>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</si>
  <si>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</si>
  <si>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</si>
  <si>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</si>
  <si>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</si>
  <si>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</si>
  <si>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</si>
  <si>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</si>
  <si>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</si>
  <si>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</si>
  <si>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</si>
  <si>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</si>
  <si>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</si>
  <si>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</si>
  <si>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</si>
  <si>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</si>
  <si>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</si>
  <si>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</si>
  <si>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</si>
  <si>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</si>
  <si>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</si>
  <si>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</si>
  <si>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</si>
  <si>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</si>
  <si>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</si>
  <si>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</si>
  <si>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</si>
  <si>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</si>
  <si>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</si>
  <si>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</si>
  <si>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</si>
  <si>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</si>
  <si>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</si>
  <si>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</si>
  <si>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</si>
  <si>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</si>
  <si>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</si>
  <si>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</si>
  <si>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</si>
  <si>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</si>
  <si>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</si>
  <si>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</si>
  <si>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</si>
  <si>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</si>
  <si>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</si>
  <si>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</si>
  <si>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</si>
  <si>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</si>
  <si>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</si>
  <si>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</si>
  <si>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</si>
  <si>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</si>
  <si>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</si>
  <si>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</si>
  <si>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</si>
  <si>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</si>
  <si>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</si>
  <si>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</si>
  <si>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</si>
  <si>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</si>
  <si>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</si>
  <si>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</si>
  <si>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</si>
  <si>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</si>
  <si>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</si>
  <si>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</si>
  <si>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</si>
  <si>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</si>
  <si>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</si>
  <si>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</si>
  <si>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</si>
  <si>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</si>
  <si>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</si>
  <si>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</si>
  <si>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</si>
  <si>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</si>
  <si>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</si>
  <si>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</si>
  <si>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</si>
  <si>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</si>
  <si>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</si>
  <si>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</si>
  <si>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</si>
  <si>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</si>
  <si>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</si>
  <si>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</si>
  <si>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</si>
  <si>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</si>
  <si>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</si>
  <si>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</si>
  <si>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</si>
  <si>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</si>
  <si>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</si>
  <si>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</si>
  <si>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</si>
  <si>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</si>
  <si>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</si>
  <si>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</si>
  <si>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</si>
  <si>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</si>
  <si>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</si>
  <si>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</si>
  <si>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</si>
  <si>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</si>
  <si>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</si>
  <si>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</si>
  <si>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</si>
  <si>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</si>
  <si>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</si>
  <si>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</si>
  <si>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</si>
  <si>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</si>
  <si>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</si>
  <si>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</si>
  <si>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</si>
  <si>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</si>
  <si>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</si>
  <si>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</si>
  <si>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</si>
  <si>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</si>
  <si>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</si>
  <si>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</si>
  <si>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</si>
  <si>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</si>
  <si>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</si>
  <si>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</si>
  <si>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</si>
  <si>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</si>
  <si>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</si>
  <si>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</si>
  <si>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</si>
  <si>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</si>
  <si>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</si>
  <si>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</si>
  <si>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</si>
  <si>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</si>
  <si>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</si>
  <si>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</si>
  <si>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</si>
  <si>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</si>
  <si>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</si>
  <si>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</si>
  <si>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</si>
  <si>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</si>
  <si>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</si>
  <si>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</si>
  <si>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</si>
  <si>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</si>
  <si>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</si>
  <si>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</si>
  <si>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</si>
  <si>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</si>
  <si>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</si>
  <si>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</si>
  <si>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</si>
  <si>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</si>
  <si>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</si>
  <si>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</si>
  <si>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</si>
  <si>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</si>
  <si>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</si>
  <si>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</si>
  <si>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</si>
  <si>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</si>
  <si>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</si>
  <si>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</si>
  <si>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</si>
  <si>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</si>
  <si>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</si>
  <si>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</si>
  <si>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</si>
  <si>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</si>
  <si>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</si>
  <si>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</si>
  <si>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</si>
  <si>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</si>
  <si>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</si>
  <si>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</si>
  <si>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</si>
  <si>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</si>
  <si>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</si>
  <si>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</si>
  <si>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</si>
  <si>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</si>
  <si>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</si>
  <si>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</si>
  <si>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</si>
  <si>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</si>
  <si>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</si>
  <si>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</si>
  <si>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</si>
  <si>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</si>
  <si>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</si>
  <si>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</si>
  <si>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</si>
  <si>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</si>
  <si>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</si>
  <si>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</si>
  <si>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</si>
  <si>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</si>
  <si>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</si>
  <si>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</si>
  <si>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</si>
  <si>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</si>
  <si>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</si>
  <si>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</si>
  <si>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</si>
  <si>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</si>
  <si>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</si>
  <si>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</si>
  <si>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</si>
  <si>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</si>
  <si>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</si>
  <si>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</si>
  <si>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</si>
  <si>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</si>
  <si>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</si>
  <si>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</si>
  <si>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</si>
  <si>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</si>
  <si>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</si>
  <si>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</si>
  <si>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</si>
  <si>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</si>
  <si>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</si>
  <si>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</si>
  <si>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</si>
  <si>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</si>
  <si>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</si>
  <si>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</si>
  <si>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</si>
  <si>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</si>
  <si>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</si>
  <si>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</si>
  <si>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</si>
  <si>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</si>
  <si>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</si>
  <si>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</si>
  <si>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</si>
  <si>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</si>
  <si>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</si>
  <si>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</si>
  <si>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</si>
  <si>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</si>
  <si>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</si>
  <si>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</si>
  <si>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</si>
  <si>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</si>
  <si>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</si>
  <si>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</si>
  <si>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</si>
  <si>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</si>
  <si>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</si>
  <si>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</si>
  <si>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</si>
  <si>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</si>
  <si>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</si>
  <si>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</si>
  <si>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</si>
  <si>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</si>
  <si>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</si>
  <si>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</si>
  <si>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</si>
  <si>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</si>
  <si>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</si>
  <si>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</si>
  <si>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</si>
  <si>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</si>
  <si>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</si>
  <si>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</si>
  <si>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</si>
  <si>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</si>
  <si>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</si>
  <si>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</si>
  <si>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</si>
  <si>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</si>
  <si>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</si>
  <si>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</si>
  <si>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</si>
  <si>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</si>
  <si>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</si>
  <si>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</si>
  <si>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</si>
  <si>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</si>
  <si>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</si>
  <si>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</si>
  <si>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</si>
  <si>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</si>
  <si>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</si>
  <si>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</si>
  <si>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</si>
  <si>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</si>
  <si>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</si>
  <si>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</si>
  <si>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</si>
  <si>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</si>
  <si>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</si>
  <si>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</si>
  <si>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</si>
  <si>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</si>
  <si>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</si>
  <si>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</si>
  <si>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</si>
  <si>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</si>
  <si>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</si>
  <si>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</si>
  <si>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</si>
  <si>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</si>
  <si>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</si>
  <si>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</si>
  <si>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</si>
  <si>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</si>
  <si>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</si>
  <si>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</si>
  <si>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</si>
  <si>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</si>
  <si>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</si>
  <si>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</si>
  <si>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</si>
  <si>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</si>
  <si>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</si>
  <si>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</si>
  <si>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</si>
  <si>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</si>
  <si>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</si>
  <si>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</si>
  <si>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</si>
  <si>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</si>
  <si>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</si>
  <si>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</si>
  <si>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</si>
  <si>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</si>
  <si>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</si>
  <si>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</si>
  <si>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</si>
  <si>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</si>
  <si>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</si>
  <si>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</si>
  <si>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</si>
  <si>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</si>
  <si>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</si>
  <si>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</si>
  <si>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</si>
  <si>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</si>
  <si>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</si>
  <si>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</si>
  <si>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</si>
  <si>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</si>
  <si>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</si>
  <si>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</si>
  <si>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</si>
  <si>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</si>
  <si>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</si>
  <si>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</si>
  <si>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</si>
  <si>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</si>
  <si>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</si>
  <si>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</si>
  <si>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</si>
  <si>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</si>
  <si>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</si>
  <si>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</si>
  <si>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</si>
  <si>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</si>
  <si>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</si>
  <si>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</si>
  <si>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</si>
  <si>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</si>
  <si>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</si>
  <si>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</si>
  <si>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</si>
  <si>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</si>
  <si>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</si>
  <si>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</si>
  <si>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</si>
  <si>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</si>
  <si>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</si>
  <si>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</si>
  <si>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</si>
  <si>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</si>
  <si>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</si>
  <si>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</si>
  <si>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</si>
  <si>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</si>
  <si>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</si>
  <si>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</si>
  <si>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</si>
  <si>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</si>
  <si>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</si>
  <si>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</si>
  <si>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</si>
  <si>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</si>
  <si>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</si>
  <si>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</si>
  <si>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</si>
  <si>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</si>
  <si>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</si>
  <si>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</si>
  <si>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</si>
  <si>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</si>
  <si>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</si>
  <si>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</si>
  <si>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</si>
  <si>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</si>
  <si>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</si>
  <si>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</si>
  <si>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</si>
  <si>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</si>
  <si>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</si>
  <si>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</si>
  <si>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</si>
  <si>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</si>
  <si>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</si>
  <si>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</si>
  <si>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</si>
  <si>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</si>
  <si>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</si>
  <si>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</si>
  <si>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</si>
  <si>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</si>
  <si>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</si>
  <si>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</si>
  <si>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</si>
  <si>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</si>
  <si>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</si>
  <si>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</si>
  <si>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</si>
  <si>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</si>
  <si>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</si>
  <si>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</si>
  <si>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</si>
  <si>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</si>
  <si>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</si>
  <si>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</si>
  <si>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</si>
  <si>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</si>
  <si>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</si>
  <si>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</si>
  <si>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</si>
  <si>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</si>
  <si>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</si>
  <si>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</si>
  <si>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</si>
  <si>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</si>
  <si>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</si>
  <si>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</si>
  <si>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</si>
  <si>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</si>
  <si>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</si>
  <si>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</si>
  <si>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</si>
  <si>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</si>
  <si>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</si>
  <si>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</si>
  <si>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</si>
  <si>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</si>
  <si>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</si>
  <si>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</si>
  <si>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</si>
  <si>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</si>
  <si>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</si>
  <si>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</si>
  <si>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</si>
  <si>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</si>
  <si>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</si>
  <si>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</si>
  <si>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</si>
  <si>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</si>
  <si>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</si>
  <si>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</si>
  <si>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</si>
  <si>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</si>
  <si>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</si>
  <si>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</si>
  <si>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</si>
  <si>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</si>
  <si>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</si>
  <si>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</si>
  <si>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</si>
  <si>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</si>
  <si>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</si>
  <si>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</si>
  <si>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</si>
  <si>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</si>
  <si>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</si>
  <si>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</si>
  <si>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</si>
  <si>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</si>
  <si>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</si>
  <si>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</si>
  <si>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</si>
  <si>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</si>
  <si>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</si>
  <si>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</si>
  <si>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</si>
  <si>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</si>
  <si>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</si>
  <si>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</si>
  <si>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</si>
  <si>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</si>
  <si>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</si>
  <si>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</si>
  <si>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</si>
  <si>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</si>
  <si>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</si>
  <si>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</si>
  <si>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</si>
  <si>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</si>
  <si>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</si>
  <si>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</si>
  <si>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</si>
  <si>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</si>
  <si>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</si>
  <si>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</si>
  <si>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</si>
  <si>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</si>
  <si>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</si>
  <si>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</si>
  <si>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</si>
  <si>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</si>
  <si>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</si>
  <si>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</si>
  <si>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</si>
  <si>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</si>
  <si>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</si>
  <si>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</si>
  <si>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</si>
  <si>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</si>
  <si>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</si>
  <si>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</si>
  <si>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</si>
  <si>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</si>
  <si>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</si>
  <si>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</si>
  <si>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</si>
  <si>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</si>
  <si>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</si>
  <si>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</si>
  <si>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</si>
  <si>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</si>
  <si>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</si>
  <si>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</si>
  <si>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</si>
  <si>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</si>
  <si>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</si>
  <si>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</si>
  <si>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</si>
  <si>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</si>
  <si>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</si>
  <si>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</si>
  <si>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</si>
  <si>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</si>
  <si>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</si>
  <si>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</si>
  <si>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</si>
  <si>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</si>
  <si>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</si>
  <si>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</si>
  <si>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</si>
  <si>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</si>
  <si>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</si>
  <si>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</si>
  <si>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</si>
  <si>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</si>
  <si>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</si>
  <si>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</si>
  <si>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</si>
  <si>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</si>
  <si>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</si>
  <si>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</si>
  <si>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</si>
  <si>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</si>
  <si>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</si>
  <si>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</si>
  <si>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</si>
  <si>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</si>
  <si>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</si>
  <si>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</si>
  <si>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</si>
  <si>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</si>
  <si>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</si>
  <si>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</si>
  <si>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</si>
  <si>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</si>
  <si>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</si>
  <si>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</si>
  <si>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</si>
  <si>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</si>
  <si>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</si>
  <si>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</si>
  <si>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</si>
  <si>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</si>
  <si>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</si>
  <si>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</si>
  <si>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</si>
  <si>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</si>
  <si>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</si>
  <si>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</si>
  <si>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</si>
  <si>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</si>
  <si>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</si>
  <si>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</si>
  <si>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</si>
  <si>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</si>
  <si>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</si>
  <si>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</si>
  <si>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</si>
  <si>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</si>
  <si>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</si>
  <si>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</si>
  <si>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</si>
  <si>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</si>
  <si>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</si>
  <si>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</si>
  <si>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</si>
  <si>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</si>
  <si>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</si>
  <si>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</si>
  <si>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</si>
  <si>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</si>
  <si>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</si>
  <si>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</si>
  <si>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</si>
  <si>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</si>
  <si>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</si>
  <si>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</si>
  <si>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</si>
  <si>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</si>
  <si>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</si>
  <si>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</si>
  <si>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</si>
  <si>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</si>
  <si>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</si>
  <si>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</si>
  <si>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</si>
  <si>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</si>
  <si>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</si>
  <si>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</si>
  <si>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</si>
  <si>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</si>
  <si>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</si>
  <si>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</si>
  <si>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</si>
  <si>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</si>
  <si>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</si>
  <si>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</si>
  <si>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</si>
  <si>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</si>
  <si>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</si>
  <si>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</si>
  <si>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</si>
  <si>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</si>
  <si>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</si>
  <si>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</si>
  <si>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</si>
  <si>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</si>
  <si>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</si>
  <si>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</si>
  <si>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</si>
  <si>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</si>
  <si>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</si>
  <si>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</si>
  <si>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</si>
  <si>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</si>
  <si>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</si>
  <si>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</si>
  <si>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</si>
  <si>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</si>
  <si>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</si>
  <si>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</si>
  <si>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</si>
  <si>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</si>
  <si>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</si>
  <si>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</si>
  <si>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</si>
  <si>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</si>
  <si>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</si>
  <si>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</si>
  <si>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</si>
  <si>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</si>
  <si>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</si>
  <si>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</si>
  <si>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</si>
  <si>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</si>
  <si>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</si>
  <si>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</si>
  <si>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</si>
  <si>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</si>
  <si>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</si>
  <si>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</si>
  <si>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</si>
  <si>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</si>
  <si>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</si>
  <si>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</si>
  <si>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</si>
  <si>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</si>
  <si>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</si>
  <si>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</si>
  <si>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</si>
  <si>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</si>
  <si>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</si>
  <si>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</si>
  <si>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</si>
  <si>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</si>
  <si>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</si>
  <si>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</si>
  <si>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</si>
  <si>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</si>
  <si>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</si>
  <si>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</si>
  <si>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</si>
  <si>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</si>
  <si>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</si>
  <si>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</si>
  <si>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</si>
  <si>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</si>
  <si>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</si>
  <si>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</si>
  <si>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</si>
  <si>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</si>
  <si>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</si>
  <si>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</si>
  <si>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</si>
  <si>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</si>
  <si>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</si>
  <si>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</si>
  <si>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</si>
  <si>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</si>
  <si>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</si>
  <si>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</si>
  <si>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</si>
  <si>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</si>
  <si>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</si>
  <si>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</si>
  <si>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</si>
  <si>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</si>
  <si>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</si>
  <si>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</si>
  <si>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</si>
  <si>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</si>
  <si>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</si>
  <si>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</si>
  <si>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</si>
  <si>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</si>
  <si>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</si>
  <si>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</si>
  <si>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</si>
  <si>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</si>
  <si>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</si>
  <si>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</si>
  <si>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</si>
  <si>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</si>
  <si>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</si>
  <si>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</si>
  <si>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</si>
  <si>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</si>
  <si>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</si>
  <si>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</si>
  <si>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</si>
  <si>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</si>
  <si>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</si>
  <si>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</si>
  <si>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</si>
  <si>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</si>
  <si>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</si>
  <si>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</si>
  <si>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</si>
  <si>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</si>
  <si>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</si>
  <si>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</si>
  <si>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</si>
  <si>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</si>
  <si>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</si>
  <si>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</si>
  <si>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</si>
  <si>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</si>
  <si>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</si>
  <si>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</si>
  <si>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</si>
  <si>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</si>
  <si>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</si>
  <si>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</si>
  <si>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</si>
  <si>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</si>
  <si>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</si>
  <si>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</si>
  <si>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</si>
  <si>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</si>
  <si>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</si>
  <si>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</si>
  <si>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</si>
  <si>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</si>
  <si>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</si>
  <si>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</si>
  <si>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</si>
  <si>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</si>
  <si>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</si>
  <si>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</si>
  <si>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</si>
  <si>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</si>
  <si>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</si>
  <si>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</si>
  <si>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</si>
  <si>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</si>
  <si>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</si>
  <si>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</si>
  <si>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</si>
  <si>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</si>
  <si>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</si>
  <si>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</si>
  <si>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</si>
  <si>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</si>
  <si>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</si>
  <si>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</si>
  <si>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</si>
  <si>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</si>
  <si>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</si>
  <si>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</si>
  <si>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</si>
  <si>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</si>
  <si>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</si>
  <si>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</si>
  <si>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</si>
  <si>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</si>
  <si>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</si>
  <si>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</si>
  <si>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</si>
  <si>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</si>
  <si>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</si>
  <si>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</si>
  <si>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</si>
  <si>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</si>
  <si>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</si>
  <si>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</si>
  <si>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</si>
  <si>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</si>
  <si>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</si>
  <si>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</si>
  <si>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</si>
  <si>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</si>
  <si>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</si>
  <si>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</si>
  <si>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</si>
  <si>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</si>
  <si>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</si>
  <si>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</si>
  <si>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</si>
  <si>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</si>
  <si>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</si>
  <si>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</si>
  <si>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</si>
  <si>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</si>
  <si>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</si>
  <si>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</si>
  <si>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</si>
  <si>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</si>
  <si>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</si>
  <si>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</si>
  <si>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</si>
  <si>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</si>
  <si>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</si>
  <si>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</si>
  <si>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</si>
  <si>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</si>
  <si>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</si>
  <si>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</si>
  <si>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</si>
  <si>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</si>
  <si>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</si>
  <si>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</si>
  <si>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</si>
  <si>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</si>
  <si>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</si>
  <si>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</si>
  <si>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</si>
  <si>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</si>
  <si>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</si>
  <si>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</si>
  <si>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</si>
  <si>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</si>
  <si>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</si>
  <si>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</si>
  <si>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</si>
  <si>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</si>
  <si>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</si>
  <si>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</si>
  <si>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</si>
  <si>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</si>
  <si>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</si>
  <si>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</si>
  <si>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</si>
  <si>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</si>
  <si>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</si>
  <si>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</si>
  <si>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</si>
  <si>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</si>
  <si>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</si>
  <si>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</si>
  <si>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</si>
  <si>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</si>
  <si>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</si>
  <si>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</si>
  <si>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</si>
  <si>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</si>
  <si>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</si>
  <si>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</si>
  <si>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</si>
  <si>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</si>
  <si>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</si>
  <si>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</si>
  <si>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</si>
  <si>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</si>
  <si>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</si>
  <si>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</si>
  <si>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</si>
  <si>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</si>
  <si>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</si>
  <si>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</si>
  <si>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</si>
  <si>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</si>
  <si>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</si>
  <si>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</si>
  <si>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</si>
  <si>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</si>
  <si>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</si>
  <si>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</si>
  <si>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</si>
  <si>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</si>
  <si>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</si>
  <si>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</si>
  <si>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</si>
  <si>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</si>
  <si>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</si>
  <si>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</si>
  <si>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</si>
  <si>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</si>
  <si>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</si>
  <si>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</si>
  <si>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</si>
  <si>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</si>
  <si>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</si>
  <si>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</si>
  <si>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</si>
  <si>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</si>
  <si>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</si>
  <si>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</si>
  <si>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</si>
  <si>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</si>
  <si>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</si>
  <si>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</si>
  <si>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</si>
  <si>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</si>
  <si>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</si>
  <si>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</si>
  <si>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</si>
  <si>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</si>
  <si>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</si>
  <si>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</si>
  <si>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</si>
  <si>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</si>
  <si>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</si>
  <si>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</si>
  <si>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</si>
  <si>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</si>
  <si>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</si>
  <si>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</si>
  <si>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</si>
  <si>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</si>
  <si>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</si>
  <si>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</si>
  <si>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</si>
  <si>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</si>
  <si>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</si>
  <si>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</si>
  <si>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</si>
  <si>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</si>
  <si>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</si>
  <si>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</si>
  <si>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</si>
  <si>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</si>
  <si>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</si>
  <si>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</si>
  <si>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</si>
  <si>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</si>
  <si>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</si>
  <si>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</si>
  <si>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</si>
  <si>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</si>
  <si>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</si>
  <si>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</si>
  <si>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</si>
  <si>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</si>
  <si>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</si>
  <si>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</si>
  <si>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</si>
  <si>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</si>
  <si>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</si>
  <si>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</si>
  <si>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</si>
  <si>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</si>
  <si>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</si>
  <si>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</si>
  <si>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</si>
  <si>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</si>
  <si>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</si>
  <si>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</si>
  <si>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</si>
  <si>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</si>
  <si>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</si>
  <si>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</si>
  <si>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</si>
  <si>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</si>
  <si>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</si>
  <si>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</si>
  <si>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</si>
  <si>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</si>
  <si>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</si>
  <si>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</si>
  <si>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</si>
  <si>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</si>
  <si>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</si>
  <si>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</si>
  <si>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</si>
  <si>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</si>
  <si>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</si>
  <si>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</si>
  <si>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</si>
  <si>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</si>
  <si>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</si>
  <si>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</si>
  <si>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</si>
  <si>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</si>
  <si>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</si>
  <si>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</si>
  <si>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</si>
  <si>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</si>
  <si>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</si>
  <si>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</si>
  <si>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</si>
  <si>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</si>
  <si>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</si>
  <si>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</si>
  <si>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</si>
  <si>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</si>
  <si>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</si>
  <si>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</si>
  <si>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</si>
  <si>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</si>
  <si>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</si>
  <si>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</si>
  <si>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</si>
  <si>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</si>
  <si>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</si>
  <si>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</si>
  <si>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</si>
  <si>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</si>
  <si>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</si>
  <si>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</si>
  <si>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</si>
  <si>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</si>
  <si>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</si>
  <si>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</si>
  <si>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</si>
  <si>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</si>
  <si>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</si>
  <si>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</si>
  <si>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</si>
  <si>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</si>
  <si>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</si>
  <si>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</si>
  <si>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</si>
  <si>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</si>
  <si>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</si>
  <si>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</si>
  <si>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</si>
  <si>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</si>
  <si>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</si>
  <si>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</si>
  <si>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</si>
  <si>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</si>
  <si>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</si>
  <si>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</si>
  <si>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</si>
  <si>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</si>
  <si>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</si>
  <si>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</si>
  <si>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</si>
  <si>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</si>
  <si>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</si>
  <si>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</si>
  <si>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</si>
  <si>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</si>
  <si>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</si>
  <si>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</si>
  <si>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</si>
  <si>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</si>
  <si>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</si>
  <si>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</si>
  <si>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</si>
  <si>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</si>
  <si>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</si>
  <si>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</si>
  <si>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</si>
  <si>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</si>
  <si>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</si>
  <si>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</si>
  <si>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</si>
  <si>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</si>
  <si>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</si>
  <si>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</si>
  <si>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</si>
  <si>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</si>
  <si>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</si>
  <si>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</si>
  <si>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</si>
  <si>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</si>
  <si>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</si>
  <si>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</si>
  <si>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</si>
  <si>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</si>
  <si>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</si>
  <si>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</si>
  <si>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</si>
  <si>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</si>
  <si>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</si>
  <si>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</si>
  <si>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</si>
  <si>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</si>
  <si>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</si>
  <si>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</si>
  <si>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</si>
  <si>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</si>
  <si>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</si>
  <si>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</si>
  <si>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</si>
  <si>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</si>
  <si>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</si>
  <si>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</si>
  <si>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</si>
  <si>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</si>
  <si>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</si>
  <si>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</si>
  <si>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</si>
  <si>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</si>
  <si>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</si>
  <si>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</si>
  <si>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</si>
  <si>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</si>
  <si>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</si>
  <si>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</si>
  <si>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</si>
  <si>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</si>
  <si>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</si>
  <si>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</si>
  <si>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</si>
  <si>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</si>
  <si>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</si>
  <si>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</si>
  <si>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</si>
  <si>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</si>
  <si>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</si>
  <si>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</si>
  <si>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</si>
  <si>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</si>
  <si>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</si>
  <si>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</si>
  <si>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</si>
  <si>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</si>
  <si>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</si>
  <si>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</si>
  <si>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</si>
  <si>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</si>
  <si>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</si>
  <si>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</si>
  <si>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</si>
  <si>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</si>
  <si>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</si>
  <si>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</si>
  <si>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</si>
  <si>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</si>
  <si>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</si>
  <si>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</si>
  <si>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</si>
  <si>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</si>
  <si>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</si>
  <si>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</si>
  <si>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</si>
  <si>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</si>
  <si>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</si>
  <si>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</si>
  <si>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</si>
  <si>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</si>
  <si>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</si>
  <si>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</si>
  <si>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</si>
  <si>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</si>
  <si>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</si>
  <si>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</si>
  <si>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</si>
  <si>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</si>
  <si>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</si>
  <si>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</si>
  <si>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</si>
  <si>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</si>
  <si>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</si>
  <si>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</si>
  <si>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</si>
  <si>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</si>
  <si>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</si>
  <si>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</si>
  <si>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</si>
  <si>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</si>
  <si>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</si>
  <si>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</si>
  <si>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</si>
  <si>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</si>
  <si>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</si>
  <si>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</si>
  <si>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</si>
  <si>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</si>
  <si>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</si>
  <si>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</si>
  <si>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</si>
  <si>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</si>
  <si>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</si>
  <si>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</si>
  <si>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</si>
  <si>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</si>
  <si>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</si>
  <si>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</si>
  <si>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</si>
  <si>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</si>
  <si>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</si>
  <si>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</si>
  <si>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</si>
  <si>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</si>
  <si>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</si>
  <si>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</si>
  <si>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</si>
  <si>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</si>
  <si>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</si>
  <si>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</si>
  <si>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</si>
  <si>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</si>
  <si>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</si>
  <si>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</si>
  <si>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</si>
  <si>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</si>
  <si>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</si>
  <si>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</si>
  <si>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</si>
  <si>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</si>
  <si>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</si>
  <si>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</si>
  <si>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</si>
  <si>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</si>
  <si>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</si>
  <si>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</si>
  <si>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</si>
  <si>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</si>
  <si>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</si>
  <si>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</si>
  <si>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</si>
  <si>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</si>
  <si>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</si>
  <si>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</si>
  <si>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</si>
  <si>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</si>
  <si>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</si>
  <si>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</si>
  <si>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</si>
  <si>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</si>
  <si>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</si>
  <si>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</si>
  <si>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</si>
  <si>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</si>
  <si>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</si>
  <si>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</si>
  <si>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</si>
  <si>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</si>
  <si>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</si>
  <si>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</si>
  <si>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</si>
  <si>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</si>
  <si>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</si>
  <si>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</si>
  <si>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</si>
  <si>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</si>
  <si>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</si>
  <si>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</si>
  <si>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</si>
  <si>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</si>
  <si>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</si>
  <si>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</si>
  <si>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</si>
  <si>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</si>
  <si>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</si>
  <si>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</si>
  <si>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</si>
  <si>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</si>
  <si>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</si>
  <si>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</si>
  <si>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</si>
  <si>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</si>
  <si>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</si>
  <si>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</si>
  <si>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</si>
  <si>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</si>
  <si>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</si>
  <si>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</si>
  <si>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</si>
  <si>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</si>
  <si>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IsDiscriminatory</t>
  </si>
  <si>
    <t>IsEssential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</si>
  <si>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</si>
  <si>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</si>
  <si>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</si>
  <si>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</si>
  <si>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</si>
  <si>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</si>
  <si>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</si>
  <si>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</si>
  <si>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</si>
  <si>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</si>
  <si>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</si>
  <si>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</si>
  <si>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</si>
  <si>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</si>
  <si>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</si>
  <si>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</si>
  <si>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</si>
  <si>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</si>
  <si>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</si>
  <si>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</si>
  <si>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</si>
  <si>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</si>
  <si>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</si>
  <si>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</si>
  <si>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</si>
  <si>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</si>
  <si>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</si>
  <si>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</si>
  <si>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</si>
  <si>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</si>
  <si>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</si>
  <si>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</si>
  <si>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</si>
  <si>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</si>
  <si>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</si>
  <si>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</si>
  <si>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</si>
  <si>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</si>
  <si>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</si>
  <si>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</si>
  <si>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</si>
  <si>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</si>
  <si>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</si>
  <si>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</si>
  <si>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</si>
  <si>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</si>
  <si>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</si>
  <si>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</si>
  <si>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</si>
  <si>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</si>
  <si>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</si>
  <si>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</si>
  <si>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</si>
  <si>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</si>
  <si>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</si>
  <si>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</si>
  <si>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</si>
  <si>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</si>
  <si>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</si>
  <si>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</si>
  <si>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</si>
  <si>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</si>
  <si>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</si>
  <si>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</si>
  <si>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</si>
  <si>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</si>
  <si>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</si>
  <si>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</si>
  <si>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</si>
  <si>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</si>
  <si>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</si>
  <si>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</si>
  <si>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</si>
  <si>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</si>
  <si>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</si>
  <si>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</si>
  <si>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</si>
  <si>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</si>
  <si>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</si>
  <si>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</si>
  <si>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</si>
  <si>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</si>
  <si>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</si>
  <si>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</si>
  <si>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</si>
  <si>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</si>
  <si>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</si>
  <si>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</si>
  <si>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</si>
  <si>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</si>
  <si>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</si>
  <si>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</si>
  <si>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</si>
  <si>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</si>
  <si>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</si>
  <si>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</si>
  <si>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</si>
  <si>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</si>
  <si>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</si>
  <si>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</si>
  <si>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</si>
  <si>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</si>
  <si>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</si>
  <si>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</si>
  <si>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</si>
  <si>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</si>
  <si>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</si>
  <si>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</si>
  <si>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</si>
  <si>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</si>
  <si>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</si>
  <si>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</si>
  <si>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</si>
  <si>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</si>
  <si>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</si>
  <si>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</si>
  <si>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</si>
  <si>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</si>
  <si>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</si>
  <si>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</si>
  <si>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</si>
  <si>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</si>
  <si>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</si>
  <si>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</si>
  <si>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</si>
  <si>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</si>
  <si>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</si>
  <si>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</si>
  <si>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</si>
  <si>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</si>
  <si>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</si>
  <si>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</si>
  <si>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</si>
  <si>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</si>
  <si>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</si>
  <si>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</si>
  <si>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</si>
  <si>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</si>
  <si>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</si>
  <si>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</si>
  <si>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</si>
  <si>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</si>
  <si>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</si>
  <si>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</si>
  <si>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</si>
  <si>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</si>
  <si>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</si>
  <si>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</si>
  <si>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</si>
  <si>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</si>
  <si>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</si>
  <si>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</si>
  <si>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</si>
  <si>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</si>
  <si>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</si>
  <si>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</si>
  <si>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</si>
  <si>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</si>
  <si>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</si>
  <si>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</si>
  <si>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</si>
  <si>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</si>
  <si>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</si>
  <si>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</si>
  <si>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</si>
  <si>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</si>
  <si>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</si>
  <si>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</si>
  <si>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</si>
  <si>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</si>
  <si>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</si>
  <si>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</si>
  <si>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</si>
  <si>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</si>
  <si>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</si>
  <si>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</si>
  <si>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</si>
  <si>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</si>
  <si>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</si>
  <si>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</si>
  <si>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</si>
  <si>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</si>
  <si>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</si>
  <si>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</si>
  <si>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</si>
  <si>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</si>
  <si>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</si>
  <si>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</si>
  <si>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</si>
  <si>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</si>
  <si>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</si>
  <si>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</si>
  <si>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</si>
  <si>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</si>
  <si>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</si>
  <si>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</si>
  <si>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</si>
  <si>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</si>
  <si>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</si>
  <si>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</si>
  <si>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</si>
  <si>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</si>
  <si>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</si>
  <si>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</si>
  <si>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</si>
  <si>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</si>
  <si>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</si>
  <si>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</si>
  <si>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</si>
  <si>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</si>
  <si>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</si>
  <si>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</si>
  <si>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</si>
  <si>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</si>
  <si>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</si>
  <si>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</si>
  <si>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</si>
  <si>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</si>
  <si>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</si>
  <si>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</si>
  <si>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</si>
  <si>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</si>
  <si>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</si>
  <si>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</si>
  <si>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</si>
  <si>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</si>
  <si>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</si>
  <si>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</si>
  <si>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</si>
  <si>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</si>
  <si>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</si>
  <si>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</si>
  <si>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</si>
  <si>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</si>
  <si>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</si>
  <si>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</si>
  <si>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</si>
  <si>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</si>
  <si>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</si>
  <si>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</si>
  <si>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</si>
  <si>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</si>
  <si>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</si>
  <si>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</si>
  <si>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</si>
  <si>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</si>
  <si>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</si>
  <si>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</si>
  <si>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</si>
  <si>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</si>
  <si>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</si>
  <si>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</si>
  <si>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</si>
  <si>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</si>
  <si>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</si>
  <si>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</si>
  <si>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</si>
  <si>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</si>
  <si>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</si>
  <si>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</si>
  <si>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</si>
  <si>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</si>
  <si>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</si>
  <si>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</si>
  <si>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</si>
  <si>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</si>
  <si>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</si>
  <si>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</si>
  <si>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</si>
  <si>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</si>
  <si>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</si>
  <si>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</si>
  <si>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</si>
  <si>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</si>
  <si>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</si>
  <si>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</si>
  <si>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</si>
  <si>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</si>
  <si>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</si>
  <si>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</si>
  <si>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</si>
  <si>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</si>
  <si>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</si>
  <si>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</si>
  <si>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</si>
  <si>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</si>
  <si>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</si>
  <si>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</si>
  <si>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</si>
  <si>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</si>
  <si>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</si>
  <si>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</si>
  <si>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</si>
  <si>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</si>
  <si>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</si>
  <si>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</si>
  <si>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</si>
  <si>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</si>
  <si>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</si>
  <si>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</si>
  <si>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</si>
  <si>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</si>
  <si>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</si>
  <si>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</si>
  <si>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</si>
  <si>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</si>
  <si>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</si>
  <si>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</si>
  <si>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</si>
  <si>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</si>
  <si>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</si>
  <si>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</si>
  <si>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</si>
  <si>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</si>
  <si>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</si>
  <si>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</si>
  <si>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</si>
  <si>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</si>
  <si>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</si>
  <si>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</si>
  <si>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</si>
  <si>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</si>
  <si>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</si>
  <si>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</si>
  <si>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</si>
  <si>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</si>
  <si>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</si>
  <si>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</si>
  <si>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</si>
  <si>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</si>
  <si>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</si>
  <si>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</si>
  <si>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</si>
  <si>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</si>
  <si>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</si>
  <si>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</si>
  <si>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</si>
  <si>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</si>
  <si>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</si>
  <si>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</si>
  <si>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</si>
  <si>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</si>
  <si>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</si>
  <si>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</si>
  <si>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</si>
  <si>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</si>
  <si>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</si>
  <si>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</si>
  <si>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</si>
  <si>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</si>
  <si>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</si>
  <si>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</si>
  <si>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</si>
  <si>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</si>
  <si>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</si>
  <si>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</si>
  <si>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</si>
  <si>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</si>
  <si>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</si>
  <si>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</si>
  <si>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</si>
  <si>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</si>
  <si>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</si>
  <si>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</si>
  <si>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</si>
  <si>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</si>
  <si>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</si>
  <si>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</si>
  <si>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</si>
  <si>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</si>
  <si>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</si>
  <si>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</si>
  <si>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</si>
  <si>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</si>
  <si>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</si>
  <si>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</si>
  <si>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</si>
  <si>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</si>
  <si>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</si>
  <si>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</si>
  <si>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</si>
  <si>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</si>
  <si>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</si>
  <si>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</si>
  <si>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</si>
  <si>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</si>
  <si>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</si>
  <si>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</si>
  <si>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</si>
  <si>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</si>
  <si>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</si>
  <si>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</si>
  <si>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</si>
  <si>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</si>
  <si>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</si>
  <si>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</si>
  <si>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</si>
  <si>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</si>
  <si>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</si>
  <si>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</si>
  <si>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</si>
  <si>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</si>
  <si>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</si>
  <si>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</si>
  <si>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</si>
  <si>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</si>
  <si>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</si>
  <si>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</si>
  <si>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</si>
  <si>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</si>
  <si>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</si>
  <si>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</si>
  <si>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</si>
  <si>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</si>
  <si>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</si>
  <si>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</si>
  <si>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</si>
  <si>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</si>
  <si>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</si>
  <si>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</si>
  <si>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</si>
  <si>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</si>
  <si>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</si>
  <si>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</si>
  <si>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</si>
  <si>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</si>
  <si>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</si>
  <si>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</si>
  <si>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</si>
  <si>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</si>
  <si>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</si>
  <si>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</si>
  <si>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</si>
  <si>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</si>
  <si>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</si>
  <si>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</si>
  <si>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</si>
  <si>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</si>
  <si>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</si>
  <si>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</si>
  <si>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</si>
  <si>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</si>
  <si>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</si>
  <si>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</si>
  <si>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</si>
  <si>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</si>
  <si>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</si>
  <si>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</si>
  <si>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</si>
  <si>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</si>
  <si>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</si>
  <si>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</si>
  <si>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</si>
  <si>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</si>
  <si>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</si>
  <si>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</si>
  <si>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</si>
  <si>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</si>
  <si>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</si>
  <si>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</si>
  <si>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</si>
  <si>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</si>
  <si>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</si>
  <si>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</si>
  <si>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</si>
  <si>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</si>
  <si>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</si>
  <si>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</si>
  <si>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</si>
  <si>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</si>
  <si>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</si>
  <si>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</si>
  <si>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</si>
  <si>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</si>
  <si>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</si>
  <si>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</si>
  <si>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</si>
  <si>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</si>
  <si>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</si>
  <si>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</si>
  <si>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</si>
  <si>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</si>
  <si>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</si>
  <si>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</si>
  <si>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</si>
  <si>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</si>
  <si>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</si>
  <si>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</si>
  <si>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</si>
  <si>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</si>
  <si>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</si>
  <si>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</si>
  <si>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</si>
  <si>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</si>
  <si>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</si>
  <si>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</si>
  <si>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</si>
  <si>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</si>
  <si>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</si>
  <si>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</si>
  <si>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</si>
  <si>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</si>
  <si>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</si>
  <si>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</si>
  <si>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</si>
  <si>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</si>
  <si>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</si>
  <si>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</si>
  <si>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</si>
  <si>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</si>
  <si>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</si>
  <si>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</si>
  <si>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</si>
  <si>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</si>
  <si>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</si>
  <si>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</si>
  <si>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</si>
  <si>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</si>
  <si>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</si>
  <si>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</si>
  <si>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</si>
  <si>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</si>
  <si>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</si>
  <si>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</si>
  <si>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</si>
  <si>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</si>
  <si>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</si>
  <si>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</si>
  <si>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</si>
  <si>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</si>
  <si>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</si>
  <si>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</si>
  <si>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</si>
  <si>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</si>
  <si>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</si>
  <si>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</si>
  <si>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</si>
  <si>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</si>
  <si>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</si>
  <si>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</si>
  <si>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</si>
  <si>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</si>
  <si>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</si>
  <si>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</si>
  <si>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</si>
  <si>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</si>
  <si>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</si>
  <si>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</si>
  <si>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</si>
  <si>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</si>
  <si>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</si>
  <si>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</si>
  <si>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</si>
  <si>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</si>
  <si>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</si>
  <si>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</si>
  <si>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</si>
  <si>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</si>
  <si>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</si>
  <si>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</si>
  <si>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</si>
  <si>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</si>
  <si>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</si>
  <si>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</si>
  <si>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</si>
  <si>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</si>
  <si>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</si>
  <si>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</si>
  <si>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</si>
  <si>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</si>
  <si>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</si>
  <si>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</si>
  <si>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</si>
  <si>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</si>
  <si>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</si>
  <si>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</si>
  <si>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</si>
  <si>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</si>
  <si>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</si>
  <si>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</si>
  <si>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</si>
  <si>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</si>
  <si>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</si>
  <si>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</si>
  <si>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</si>
  <si>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</si>
  <si>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</si>
  <si>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</si>
  <si>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</si>
  <si>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</si>
  <si>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</si>
  <si>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</si>
  <si>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</si>
  <si>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</si>
  <si>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</si>
  <si>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</si>
  <si>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</si>
  <si>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</si>
  <si>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</si>
  <si>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</si>
  <si>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</si>
  <si>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</si>
  <si>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</si>
  <si>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</si>
  <si>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</si>
  <si>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</si>
  <si>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</si>
  <si>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</si>
  <si>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</si>
  <si>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</si>
  <si>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</si>
  <si>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</si>
  <si>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</si>
  <si>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</si>
  <si>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</si>
  <si>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</si>
  <si>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</si>
  <si>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</si>
  <si>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RunHarmonization</t>
  </si>
  <si>
    <t>Method.TransformativeExpressions</t>
  </si>
  <si>
    <t>Method.Dictionary</t>
  </si>
  <si>
    <t>Method.FuzzyStringMatching</t>
  </si>
  <si>
    <t>Method.NaiveBayes</t>
  </si>
  <si>
    <t>HarmonizationOrder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</si>
  <si>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</si>
  <si>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</si>
  <si>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</si>
  <si>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</si>
  <si>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</si>
  <si>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</si>
  <si>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</si>
  <si>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</si>
  <si>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</si>
  <si>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</si>
  <si>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</si>
  <si>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</si>
  <si>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</si>
  <si>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</si>
  <si>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</si>
  <si>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</si>
  <si>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</si>
  <si>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</si>
  <si>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</si>
  <si>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</si>
  <si>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</si>
  <si>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</si>
  <si>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</si>
  <si>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</si>
  <si>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</si>
  <si>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</si>
  <si>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</si>
  <si>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</si>
  <si>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</si>
  <si>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</si>
  <si>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</si>
  <si>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</si>
  <si>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</si>
  <si>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</si>
  <si>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</si>
  <si>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</si>
  <si>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</si>
  <si>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</si>
  <si>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</si>
  <si>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</si>
  <si>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</si>
  <si>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</si>
  <si>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</si>
  <si>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</si>
  <si>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</si>
  <si>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</si>
  <si>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</si>
  <si>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</si>
  <si>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</si>
  <si>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</si>
  <si>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</si>
  <si>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</si>
  <si>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</si>
  <si>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</si>
  <si>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</si>
  <si>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</si>
  <si>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</si>
  <si>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</si>
  <si>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</si>
  <si>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</si>
  <si>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</si>
  <si>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</si>
  <si>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</si>
  <si>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</si>
  <si>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</si>
  <si>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</si>
  <si>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</si>
  <si>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</si>
  <si>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</si>
  <si>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</si>
  <si>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</si>
  <si>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</si>
  <si>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</si>
  <si>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</si>
  <si>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</si>
  <si>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</si>
  <si>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</si>
  <si>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</si>
  <si>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</si>
  <si>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</si>
  <si>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</si>
  <si>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</si>
  <si>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</si>
  <si>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</si>
  <si>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</si>
  <si>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</si>
  <si>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</si>
  <si>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</si>
  <si>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</si>
  <si>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</si>
  <si>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</si>
  <si>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</si>
  <si>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</si>
  <si>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</si>
  <si>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</si>
  <si>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</si>
  <si>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</si>
  <si>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</si>
  <si>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</si>
  <si>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</si>
  <si>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</si>
  <si>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</si>
  <si>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</si>
  <si>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</si>
  <si>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</si>
  <si>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</si>
  <si>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</si>
  <si>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</si>
  <si>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</si>
  <si>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</si>
  <si>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</si>
  <si>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</si>
  <si>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</si>
  <si>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</si>
  <si>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</si>
  <si>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</si>
  <si>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</si>
  <si>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</si>
  <si>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</si>
  <si>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</si>
  <si>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</si>
  <si>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</si>
  <si>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</si>
  <si>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</si>
  <si>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</si>
  <si>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</si>
  <si>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</si>
  <si>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</si>
  <si>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</si>
  <si>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</si>
  <si>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</si>
  <si>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</si>
  <si>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</si>
  <si>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</si>
  <si>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</si>
  <si>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</si>
  <si>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</si>
  <si>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</si>
  <si>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</si>
  <si>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</si>
  <si>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</si>
  <si>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</si>
  <si>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</si>
  <si>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</si>
  <si>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</si>
  <si>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</si>
  <si>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</si>
  <si>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</si>
  <si>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</si>
  <si>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</si>
  <si>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</si>
  <si>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</si>
  <si>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</si>
  <si>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</si>
  <si>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</si>
  <si>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</si>
  <si>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</si>
  <si>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</si>
  <si>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</si>
  <si>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</si>
  <si>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</si>
  <si>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</si>
  <si>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</si>
  <si>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</si>
  <si>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</si>
  <si>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</si>
  <si>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</si>
  <si>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</si>
  <si>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</si>
  <si>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</si>
  <si>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</si>
  <si>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</si>
  <si>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</si>
  <si>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</si>
  <si>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</si>
  <si>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</si>
  <si>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</si>
  <si>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</si>
  <si>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</si>
  <si>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</si>
  <si>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</si>
  <si>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</si>
  <si>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</si>
  <si>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</si>
  <si>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</si>
  <si>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</si>
  <si>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</si>
  <si>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</si>
  <si>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</si>
  <si>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</si>
  <si>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</si>
  <si>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</si>
  <si>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</si>
  <si>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</si>
  <si>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</si>
  <si>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</si>
  <si>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</si>
  <si>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</si>
  <si>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</si>
  <si>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</si>
  <si>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</si>
  <si>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</si>
  <si>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</si>
  <si>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</si>
  <si>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</si>
  <si>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</si>
  <si>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</si>
  <si>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</si>
  <si>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</si>
  <si>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</si>
  <si>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</si>
  <si>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</si>
  <si>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</si>
  <si>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</si>
  <si>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</si>
  <si>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</si>
  <si>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</si>
  <si>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</si>
  <si>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</si>
  <si>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</si>
  <si>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</si>
  <si>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</si>
  <si>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</si>
  <si>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</si>
  <si>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</si>
  <si>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</si>
  <si>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</si>
  <si>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</si>
  <si>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</si>
  <si>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</si>
  <si>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</si>
  <si>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</si>
  <si>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</si>
  <si>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</si>
  <si>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separate_longer_delim(.Table, .Feature, delim = &lt;#delim:regex('\\s*(,|;|/|\\+|\\&amp;|(?i:\\bund\\b))\\s*')#&gt;)</t>
  </si>
  <si>
    <t>Required</t>
  </si>
  <si>
    <t>Track</t>
  </si>
  <si>
    <t>Availability</t>
  </si>
  <si>
    <t>RunPrimaryTableCleaning</t>
  </si>
  <si>
    <t>RunSecondaryTableCleaning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</si>
  <si>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</si>
  <si>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</si>
  <si>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</si>
  <si>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</si>
  <si>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</si>
  <si>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</si>
  <si>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</si>
  <si>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</si>
  <si>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</si>
  <si>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</si>
  <si>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DataTransformation</t>
  </si>
  <si>
    <t>PrimaryTableCleaning</t>
  </si>
  <si>
    <t>SecondaryTableCleaning</t>
  </si>
  <si>
    <t>SecondaryRedundancies.Detect</t>
  </si>
  <si>
    <t>SecondaryRedundancies.Remove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</si>
</sst>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5" borderId="0" xfId="0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 wrapText="1"/>
    </xf>
    <xf numFmtId="0" fontId="9" fillId="11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Standard" xfId="0" builtinId="0"/>
  </cellStyles>
  <dxfs count="152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E11" sqref="E11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2240</v>
      </c>
      <c r="B3" s="2" t="s">
        <v>2192</v>
      </c>
      <c r="C3" s="2" t="s">
        <v>2193</v>
      </c>
      <c r="D3" s="2" t="s">
        <v>2464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2463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2457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2463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2463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2463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2463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2463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2463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2465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2463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2463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2463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2463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2463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G1" workbookViewId="0">
      <pane ySplit="3" topLeftCell="A116" activePane="bottomLeft" state="frozen"/>
      <selection pane="bottomLeft" activeCell="F9" sqref="F9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0.6640625" style="3" customWidth="1"/>
    <col min="14" max="14" width="21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2240</v>
      </c>
      <c r="C3" s="2" t="s">
        <v>2192</v>
      </c>
      <c r="D3" s="2" t="s">
        <v>2193</v>
      </c>
      <c r="E3" s="2" t="s">
        <v>379</v>
      </c>
      <c r="F3" s="2" t="s">
        <v>2194</v>
      </c>
      <c r="G3" s="2" t="s">
        <v>2195</v>
      </c>
      <c r="H3" s="2" t="s">
        <v>1542</v>
      </c>
      <c r="I3" s="2" t="s">
        <v>1611</v>
      </c>
      <c r="J3" s="2" t="s">
        <v>551</v>
      </c>
      <c r="K3" s="2" t="s">
        <v>1437</v>
      </c>
      <c r="L3" s="2" t="s">
        <v>1453</v>
      </c>
      <c r="M3" s="2" t="s">
        <v>1609</v>
      </c>
      <c r="N3" s="2" t="s">
        <v>1610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2187</v>
      </c>
      <c r="L4" s="3" t="s">
        <v>652</v>
      </c>
      <c r="M4" s="3" t="s">
        <v>652</v>
      </c>
      <c r="N4" s="3" t="s">
        <v>652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2187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2188</v>
      </c>
      <c r="L6" s="3" t="s">
        <v>652</v>
      </c>
      <c r="M6" s="3" t="s">
        <v>651</v>
      </c>
      <c r="N6" s="3" t="s">
        <v>651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2187</v>
      </c>
      <c r="L7" s="3" t="s">
        <v>651</v>
      </c>
      <c r="M7" s="3" t="s">
        <v>652</v>
      </c>
      <c r="N7" s="3" t="s">
        <v>651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2187</v>
      </c>
      <c r="L8" s="3" t="s">
        <v>651</v>
      </c>
      <c r="M8" s="3" t="s">
        <v>652</v>
      </c>
      <c r="N8" s="3" t="s">
        <v>651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2187</v>
      </c>
      <c r="L9" s="3" t="s">
        <v>652</v>
      </c>
      <c r="M9" s="3" t="s">
        <v>652</v>
      </c>
      <c r="N9" s="3" t="s">
        <v>651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2187</v>
      </c>
      <c r="L10" s="3" t="s">
        <v>651</v>
      </c>
      <c r="M10" s="3" t="s">
        <v>652</v>
      </c>
      <c r="N10" s="3" t="s">
        <v>651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2187</v>
      </c>
      <c r="L11" s="3" t="s">
        <v>652</v>
      </c>
      <c r="M11" s="3" t="s">
        <v>652</v>
      </c>
      <c r="N11" s="3" t="s">
        <v>651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2189</v>
      </c>
      <c r="L12" s="3" t="s">
        <v>652</v>
      </c>
      <c r="M12" s="3" t="s">
        <v>652</v>
      </c>
      <c r="N12" s="3" t="s">
        <v>651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2187</v>
      </c>
      <c r="L13" s="3" t="s">
        <v>652</v>
      </c>
      <c r="M13" s="3" t="s">
        <v>652</v>
      </c>
      <c r="N13" s="3" t="s">
        <v>651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2187</v>
      </c>
      <c r="L14" s="3" t="s">
        <v>651</v>
      </c>
      <c r="M14" s="3" t="s">
        <v>652</v>
      </c>
      <c r="N14" s="3" t="s">
        <v>651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2187</v>
      </c>
      <c r="L15" s="3" t="s">
        <v>652</v>
      </c>
      <c r="M15" s="3" t="s">
        <v>652</v>
      </c>
      <c r="N15" s="3" t="s">
        <v>652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2187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2187</v>
      </c>
      <c r="L17" s="3" t="s">
        <v>652</v>
      </c>
      <c r="M17" s="3" t="s">
        <v>652</v>
      </c>
      <c r="N17" s="3" t="s">
        <v>651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2188</v>
      </c>
      <c r="L18" s="3" t="s">
        <v>652</v>
      </c>
      <c r="M18" s="3" t="s">
        <v>652</v>
      </c>
      <c r="N18" s="3" t="s">
        <v>651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2187</v>
      </c>
      <c r="L19" s="3" t="s">
        <v>652</v>
      </c>
      <c r="M19" s="3" t="s">
        <v>652</v>
      </c>
      <c r="N19" s="3" t="s">
        <v>652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1599</v>
      </c>
      <c r="K20" s="3" t="s">
        <v>2187</v>
      </c>
      <c r="L20" s="3" t="s">
        <v>652</v>
      </c>
      <c r="M20" s="3" t="s">
        <v>652</v>
      </c>
      <c r="N20" s="3" t="s">
        <v>651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2187</v>
      </c>
      <c r="L21" s="3" t="s">
        <v>652</v>
      </c>
      <c r="M21" s="3" t="s">
        <v>652</v>
      </c>
      <c r="N21" s="3" t="s">
        <v>651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2187</v>
      </c>
      <c r="L22" s="3" t="s">
        <v>652</v>
      </c>
      <c r="M22" s="3" t="s">
        <v>652</v>
      </c>
      <c r="N22" s="3" t="s">
        <v>651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2187</v>
      </c>
      <c r="L23" s="3" t="s">
        <v>651</v>
      </c>
      <c r="M23" s="3" t="s">
        <v>652</v>
      </c>
      <c r="N23" s="3" t="s">
        <v>651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2187</v>
      </c>
      <c r="L24" s="3" t="s">
        <v>651</v>
      </c>
      <c r="M24" s="3" t="s">
        <v>652</v>
      </c>
      <c r="N24" s="3" t="s">
        <v>651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2187</v>
      </c>
      <c r="L25" s="3" t="s">
        <v>652</v>
      </c>
      <c r="M25" s="3" t="s">
        <v>652</v>
      </c>
      <c r="N25" s="3" t="s">
        <v>652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2187</v>
      </c>
      <c r="L26" s="3" t="s">
        <v>652</v>
      </c>
      <c r="M26" s="3" t="s">
        <v>651</v>
      </c>
      <c r="N26" s="3" t="s">
        <v>651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2187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2188</v>
      </c>
      <c r="L28" s="3" t="s">
        <v>652</v>
      </c>
      <c r="M28" s="3" t="s">
        <v>651</v>
      </c>
      <c r="N28" s="3" t="s">
        <v>651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2187</v>
      </c>
      <c r="L29" s="3" t="s">
        <v>651</v>
      </c>
      <c r="M29" s="3" t="s">
        <v>652</v>
      </c>
      <c r="N29" s="3" t="s">
        <v>651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2187</v>
      </c>
      <c r="L30" s="3" t="s">
        <v>651</v>
      </c>
      <c r="M30" s="3" t="s">
        <v>652</v>
      </c>
      <c r="N30" s="3" t="s">
        <v>651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2244</v>
      </c>
      <c r="G31" s="3" t="s">
        <v>2245</v>
      </c>
      <c r="H31" s="3" t="s">
        <v>652</v>
      </c>
      <c r="I31" s="3" t="s">
        <v>652</v>
      </c>
      <c r="J31" s="3" t="s">
        <v>1440</v>
      </c>
      <c r="K31" s="3" t="s">
        <v>2187</v>
      </c>
      <c r="L31" s="3" t="s">
        <v>652</v>
      </c>
      <c r="M31" s="3" t="s">
        <v>652</v>
      </c>
      <c r="N31" s="3" t="s">
        <v>651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2187</v>
      </c>
      <c r="L32" s="3" t="s">
        <v>651</v>
      </c>
      <c r="M32" s="3" t="s">
        <v>652</v>
      </c>
      <c r="N32" s="3" t="s">
        <v>651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2187</v>
      </c>
      <c r="L33" s="3" t="s">
        <v>651</v>
      </c>
      <c r="M33" s="3" t="s">
        <v>652</v>
      </c>
      <c r="N33" s="3" t="s">
        <v>651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2187</v>
      </c>
      <c r="L34" s="3" t="s">
        <v>652</v>
      </c>
      <c r="M34" s="3" t="s">
        <v>652</v>
      </c>
      <c r="N34" s="3" t="s">
        <v>652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2187</v>
      </c>
      <c r="L35" s="3" t="s">
        <v>652</v>
      </c>
      <c r="M35" s="3" t="s">
        <v>651</v>
      </c>
      <c r="N35" s="3" t="s">
        <v>651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2187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2188</v>
      </c>
      <c r="L37" s="3" t="s">
        <v>652</v>
      </c>
      <c r="M37" s="3" t="s">
        <v>651</v>
      </c>
      <c r="N37" s="3" t="s">
        <v>651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2190</v>
      </c>
      <c r="L38" s="3" t="s">
        <v>651</v>
      </c>
      <c r="M38" s="3" t="s">
        <v>652</v>
      </c>
      <c r="N38" s="3" t="s">
        <v>651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2187</v>
      </c>
      <c r="L39" s="3" t="s">
        <v>652</v>
      </c>
      <c r="M39" s="3" t="s">
        <v>652</v>
      </c>
      <c r="N39" s="3" t="s">
        <v>652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2187</v>
      </c>
      <c r="L40" s="3" t="s">
        <v>652</v>
      </c>
      <c r="M40" s="3" t="s">
        <v>651</v>
      </c>
      <c r="N40" s="3" t="s">
        <v>651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2187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2188</v>
      </c>
      <c r="L42" s="3" t="s">
        <v>652</v>
      </c>
      <c r="M42" s="3" t="s">
        <v>651</v>
      </c>
      <c r="N42" s="3" t="s">
        <v>651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2187</v>
      </c>
      <c r="L43" s="3" t="s">
        <v>652</v>
      </c>
      <c r="M43" s="3" t="s">
        <v>652</v>
      </c>
      <c r="N43" s="3" t="s">
        <v>651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2187</v>
      </c>
      <c r="L44" s="3" t="s">
        <v>652</v>
      </c>
      <c r="M44" s="3" t="s">
        <v>652</v>
      </c>
      <c r="N44" s="3" t="s">
        <v>651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2187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2187</v>
      </c>
      <c r="L46" s="3" t="s">
        <v>651</v>
      </c>
      <c r="M46" s="3" t="s">
        <v>652</v>
      </c>
      <c r="N46" s="3" t="s">
        <v>651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2189</v>
      </c>
      <c r="L47" s="3" t="s">
        <v>652</v>
      </c>
      <c r="M47" s="3" t="s">
        <v>652</v>
      </c>
      <c r="N47" s="3" t="s">
        <v>651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2189</v>
      </c>
      <c r="L48" s="3" t="s">
        <v>652</v>
      </c>
      <c r="M48" s="3" t="s">
        <v>652</v>
      </c>
      <c r="N48" s="3" t="s">
        <v>651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2189</v>
      </c>
      <c r="L49" s="3" t="s">
        <v>652</v>
      </c>
      <c r="M49" s="3" t="s">
        <v>652</v>
      </c>
      <c r="N49" s="3" t="s">
        <v>651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2189</v>
      </c>
      <c r="L50" s="3" t="s">
        <v>652</v>
      </c>
      <c r="M50" s="3" t="s">
        <v>652</v>
      </c>
      <c r="N50" s="3" t="s">
        <v>651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2187</v>
      </c>
      <c r="L51" s="3" t="s">
        <v>652</v>
      </c>
      <c r="M51" s="3" t="s">
        <v>652</v>
      </c>
      <c r="N51" s="3" t="s">
        <v>652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2187</v>
      </c>
      <c r="L52" s="3" t="s">
        <v>652</v>
      </c>
      <c r="M52" s="3" t="s">
        <v>651</v>
      </c>
      <c r="N52" s="3" t="s">
        <v>651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2187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2188</v>
      </c>
      <c r="L54" s="3" t="s">
        <v>652</v>
      </c>
      <c r="M54" s="3" t="s">
        <v>651</v>
      </c>
      <c r="N54" s="3" t="s">
        <v>651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2191</v>
      </c>
      <c r="L55" s="3" t="s">
        <v>652</v>
      </c>
      <c r="M55" s="3" t="s">
        <v>652</v>
      </c>
      <c r="N55" s="3" t="s">
        <v>651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2187</v>
      </c>
      <c r="L56" s="3" t="s">
        <v>651</v>
      </c>
      <c r="M56" s="3" t="s">
        <v>652</v>
      </c>
      <c r="N56" s="3" t="s">
        <v>651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2187</v>
      </c>
      <c r="L57" s="3" t="s">
        <v>652</v>
      </c>
      <c r="M57" s="3" t="s">
        <v>652</v>
      </c>
      <c r="N57" s="3" t="s">
        <v>652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2187</v>
      </c>
      <c r="L58" s="3" t="s">
        <v>652</v>
      </c>
      <c r="M58" s="3" t="s">
        <v>651</v>
      </c>
      <c r="N58" s="3" t="s">
        <v>651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2187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2188</v>
      </c>
      <c r="L60" s="3" t="s">
        <v>652</v>
      </c>
      <c r="M60" s="3" t="s">
        <v>651</v>
      </c>
      <c r="N60" s="3" t="s">
        <v>651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2187</v>
      </c>
      <c r="L61" s="3" t="s">
        <v>652</v>
      </c>
      <c r="M61" s="3" t="s">
        <v>652</v>
      </c>
      <c r="N61" s="3" t="s">
        <v>651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2187</v>
      </c>
      <c r="L62" s="3" t="s">
        <v>652</v>
      </c>
      <c r="M62" s="3" t="s">
        <v>652</v>
      </c>
      <c r="N62" s="3" t="s">
        <v>651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2187</v>
      </c>
      <c r="L63" s="3" t="s">
        <v>652</v>
      </c>
      <c r="M63" s="3" t="s">
        <v>652</v>
      </c>
      <c r="N63" s="3" t="s">
        <v>651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2187</v>
      </c>
      <c r="L64" s="3" t="s">
        <v>652</v>
      </c>
      <c r="M64" s="3" t="s">
        <v>652</v>
      </c>
      <c r="N64" s="3" t="s">
        <v>652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2187</v>
      </c>
      <c r="L65" s="3" t="s">
        <v>652</v>
      </c>
      <c r="M65" s="3" t="s">
        <v>651</v>
      </c>
      <c r="N65" s="3" t="s">
        <v>651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2187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2188</v>
      </c>
      <c r="L67" s="3" t="s">
        <v>652</v>
      </c>
      <c r="M67" s="3" t="s">
        <v>651</v>
      </c>
      <c r="N67" s="3" t="s">
        <v>651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2187</v>
      </c>
      <c r="L68" s="3" t="s">
        <v>652</v>
      </c>
      <c r="M68" s="3" t="s">
        <v>652</v>
      </c>
      <c r="N68" s="3" t="s">
        <v>651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2187</v>
      </c>
      <c r="L69" s="3" t="s">
        <v>652</v>
      </c>
      <c r="M69" s="3" t="s">
        <v>652</v>
      </c>
      <c r="N69" s="3" t="s">
        <v>651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2187</v>
      </c>
      <c r="L70" s="3" t="s">
        <v>652</v>
      </c>
      <c r="M70" s="3" t="s">
        <v>651</v>
      </c>
      <c r="N70" s="3" t="s">
        <v>651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2187</v>
      </c>
      <c r="L71" s="3" t="s">
        <v>652</v>
      </c>
      <c r="M71" s="3" t="s">
        <v>652</v>
      </c>
      <c r="N71" s="3" t="s">
        <v>651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2187</v>
      </c>
      <c r="L72" s="3" t="s">
        <v>652</v>
      </c>
      <c r="M72" s="3" t="s">
        <v>652</v>
      </c>
      <c r="N72" s="3" t="s">
        <v>651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2188</v>
      </c>
      <c r="L73" s="3" t="s">
        <v>652</v>
      </c>
      <c r="M73" s="3" t="s">
        <v>652</v>
      </c>
      <c r="N73" s="3" t="s">
        <v>651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2186</v>
      </c>
      <c r="H74" s="3" t="s">
        <v>652</v>
      </c>
      <c r="I74" s="3" t="s">
        <v>652</v>
      </c>
      <c r="J74" s="3" t="s">
        <v>1540</v>
      </c>
      <c r="K74" s="3" t="s">
        <v>2187</v>
      </c>
      <c r="L74" s="3" t="s">
        <v>651</v>
      </c>
      <c r="M74" s="3" t="s">
        <v>652</v>
      </c>
      <c r="N74" s="3" t="s">
        <v>651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2188</v>
      </c>
      <c r="L75" s="3" t="s">
        <v>652</v>
      </c>
      <c r="M75" s="3" t="s">
        <v>652</v>
      </c>
      <c r="N75" s="3" t="s">
        <v>651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2187</v>
      </c>
      <c r="L76" s="3" t="s">
        <v>651</v>
      </c>
      <c r="M76" s="3" t="s">
        <v>652</v>
      </c>
      <c r="N76" s="3" t="s">
        <v>651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2187</v>
      </c>
      <c r="L77" s="3" t="s">
        <v>652</v>
      </c>
      <c r="M77" s="3" t="s">
        <v>652</v>
      </c>
      <c r="N77" s="3" t="s">
        <v>651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2187</v>
      </c>
      <c r="L78" s="3" t="s">
        <v>652</v>
      </c>
      <c r="M78" s="3" t="s">
        <v>652</v>
      </c>
      <c r="N78" s="3" t="s">
        <v>651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2187</v>
      </c>
      <c r="L79" s="3" t="s">
        <v>652</v>
      </c>
      <c r="M79" s="3" t="s">
        <v>652</v>
      </c>
      <c r="N79" s="3" t="s">
        <v>652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2187</v>
      </c>
      <c r="L80" s="3" t="s">
        <v>652</v>
      </c>
      <c r="M80" s="3" t="s">
        <v>651</v>
      </c>
      <c r="N80" s="3" t="s">
        <v>651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2187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2187</v>
      </c>
      <c r="L82" s="3" t="s">
        <v>651</v>
      </c>
      <c r="M82" s="3" t="s">
        <v>652</v>
      </c>
      <c r="N82" s="3" t="s">
        <v>651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2187</v>
      </c>
      <c r="L83" s="3" t="s">
        <v>651</v>
      </c>
      <c r="M83" s="3" t="s">
        <v>652</v>
      </c>
      <c r="N83" s="3" t="s">
        <v>651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2188</v>
      </c>
      <c r="L84" s="3" t="s">
        <v>652</v>
      </c>
      <c r="M84" s="3" t="s">
        <v>651</v>
      </c>
      <c r="N84" s="3" t="s">
        <v>651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2188</v>
      </c>
      <c r="L85" s="3" t="s">
        <v>652</v>
      </c>
      <c r="M85" s="3" t="s">
        <v>652</v>
      </c>
      <c r="N85" s="3" t="s">
        <v>651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2187</v>
      </c>
      <c r="L86" s="3" t="s">
        <v>651</v>
      </c>
      <c r="M86" s="3" t="s">
        <v>652</v>
      </c>
      <c r="N86" s="3" t="s">
        <v>651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2187</v>
      </c>
      <c r="L87" s="3" t="s">
        <v>651</v>
      </c>
      <c r="M87" s="3" t="s">
        <v>652</v>
      </c>
      <c r="N87" s="3" t="s">
        <v>651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2187</v>
      </c>
      <c r="L88" s="3" t="s">
        <v>651</v>
      </c>
      <c r="M88" s="3" t="s">
        <v>652</v>
      </c>
      <c r="N88" s="3" t="s">
        <v>651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2187</v>
      </c>
      <c r="L89" s="3" t="s">
        <v>652</v>
      </c>
      <c r="M89" s="3" t="s">
        <v>652</v>
      </c>
      <c r="N89" s="3" t="s">
        <v>651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2189</v>
      </c>
      <c r="L90" s="3" t="s">
        <v>652</v>
      </c>
      <c r="M90" s="3" t="s">
        <v>652</v>
      </c>
      <c r="N90" s="3" t="s">
        <v>651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2187</v>
      </c>
      <c r="L91" s="3" t="s">
        <v>651</v>
      </c>
      <c r="M91" s="3" t="s">
        <v>652</v>
      </c>
      <c r="N91" s="3" t="s">
        <v>651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2189</v>
      </c>
      <c r="L92" s="3" t="s">
        <v>652</v>
      </c>
      <c r="M92" s="3" t="s">
        <v>652</v>
      </c>
      <c r="N92" s="3" t="s">
        <v>651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2187</v>
      </c>
      <c r="L93" s="3" t="s">
        <v>651</v>
      </c>
      <c r="M93" s="3" t="s">
        <v>652</v>
      </c>
      <c r="N93" s="3" t="s">
        <v>651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2187</v>
      </c>
      <c r="L94" s="3" t="s">
        <v>651</v>
      </c>
      <c r="M94" s="3" t="s">
        <v>652</v>
      </c>
      <c r="N94" s="3" t="s">
        <v>651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2187</v>
      </c>
      <c r="L95" s="3" t="s">
        <v>651</v>
      </c>
      <c r="M95" s="3" t="s">
        <v>652</v>
      </c>
      <c r="N95" s="3" t="s">
        <v>651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2187</v>
      </c>
      <c r="L96" s="3" t="s">
        <v>652</v>
      </c>
      <c r="M96" s="3" t="s">
        <v>652</v>
      </c>
      <c r="N96" s="3" t="s">
        <v>651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2187</v>
      </c>
      <c r="L97" s="3" t="s">
        <v>652</v>
      </c>
      <c r="M97" s="3" t="s">
        <v>652</v>
      </c>
      <c r="N97" s="3" t="s">
        <v>651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2187</v>
      </c>
      <c r="L98" s="3" t="s">
        <v>652</v>
      </c>
      <c r="M98" s="3" t="s">
        <v>652</v>
      </c>
      <c r="N98" s="3" t="s">
        <v>651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2187</v>
      </c>
      <c r="L99" s="3" t="s">
        <v>652</v>
      </c>
      <c r="M99" s="3" t="s">
        <v>652</v>
      </c>
      <c r="N99" s="3" t="s">
        <v>652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2187</v>
      </c>
      <c r="L100" s="3" t="s">
        <v>652</v>
      </c>
      <c r="M100" s="3" t="s">
        <v>651</v>
      </c>
      <c r="N100" s="3" t="s">
        <v>651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2187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2188</v>
      </c>
      <c r="L102" s="3" t="s">
        <v>652</v>
      </c>
      <c r="M102" s="3" t="s">
        <v>651</v>
      </c>
      <c r="N102" s="3" t="s">
        <v>651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2187</v>
      </c>
      <c r="L103" s="3" t="s">
        <v>651</v>
      </c>
      <c r="M103" s="3" t="s">
        <v>652</v>
      </c>
      <c r="N103" s="3" t="s">
        <v>651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2200</v>
      </c>
      <c r="H104" s="3" t="s">
        <v>652</v>
      </c>
      <c r="I104" s="3" t="s">
        <v>652</v>
      </c>
      <c r="J104" s="3" t="s">
        <v>1540</v>
      </c>
      <c r="K104" s="3" t="s">
        <v>2187</v>
      </c>
      <c r="L104" s="3" t="s">
        <v>651</v>
      </c>
      <c r="M104" s="3" t="s">
        <v>652</v>
      </c>
      <c r="N104" s="3" t="s">
        <v>651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2201</v>
      </c>
      <c r="H105" s="3" t="s">
        <v>652</v>
      </c>
      <c r="I105" s="3" t="s">
        <v>652</v>
      </c>
      <c r="J105" s="3" t="s">
        <v>1540</v>
      </c>
      <c r="K105" s="3" t="s">
        <v>2187</v>
      </c>
      <c r="L105" s="3" t="s">
        <v>651</v>
      </c>
      <c r="M105" s="3" t="s">
        <v>652</v>
      </c>
      <c r="N105" s="3" t="s">
        <v>651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2202</v>
      </c>
      <c r="H106" s="3" t="s">
        <v>652</v>
      </c>
      <c r="I106" s="3" t="s">
        <v>652</v>
      </c>
      <c r="J106" s="3" t="s">
        <v>1540</v>
      </c>
      <c r="K106" s="3" t="s">
        <v>2187</v>
      </c>
      <c r="L106" s="3" t="s">
        <v>651</v>
      </c>
      <c r="M106" s="3" t="s">
        <v>652</v>
      </c>
      <c r="N106" s="3" t="s">
        <v>651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2203</v>
      </c>
      <c r="H107" s="3" t="s">
        <v>652</v>
      </c>
      <c r="I107" s="3" t="s">
        <v>652</v>
      </c>
      <c r="J107" s="3" t="s">
        <v>1540</v>
      </c>
      <c r="K107" s="3" t="s">
        <v>2187</v>
      </c>
      <c r="L107" s="3" t="s">
        <v>651</v>
      </c>
      <c r="M107" s="3" t="s">
        <v>652</v>
      </c>
      <c r="N107" s="3" t="s">
        <v>651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2204</v>
      </c>
      <c r="H108" s="3" t="s">
        <v>652</v>
      </c>
      <c r="I108" s="3" t="s">
        <v>652</v>
      </c>
      <c r="J108" s="3" t="s">
        <v>1540</v>
      </c>
      <c r="K108" s="3" t="s">
        <v>2187</v>
      </c>
      <c r="L108" s="3" t="s">
        <v>651</v>
      </c>
      <c r="M108" s="3" t="s">
        <v>652</v>
      </c>
      <c r="N108" s="3" t="s">
        <v>651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2205</v>
      </c>
      <c r="H109" s="3" t="s">
        <v>652</v>
      </c>
      <c r="I109" s="3" t="s">
        <v>652</v>
      </c>
      <c r="J109" s="3" t="s">
        <v>1540</v>
      </c>
      <c r="K109" s="3" t="s">
        <v>2187</v>
      </c>
      <c r="L109" s="3" t="s">
        <v>651</v>
      </c>
      <c r="M109" s="3" t="s">
        <v>652</v>
      </c>
      <c r="N109" s="3" t="s">
        <v>651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2206</v>
      </c>
      <c r="H110" s="3" t="s">
        <v>652</v>
      </c>
      <c r="I110" s="3" t="s">
        <v>652</v>
      </c>
      <c r="J110" s="3" t="s">
        <v>1540</v>
      </c>
      <c r="K110" s="3" t="s">
        <v>2187</v>
      </c>
      <c r="L110" s="3" t="s">
        <v>651</v>
      </c>
      <c r="M110" s="3" t="s">
        <v>652</v>
      </c>
      <c r="N110" s="3" t="s">
        <v>651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2207</v>
      </c>
      <c r="H111" s="3" t="s">
        <v>652</v>
      </c>
      <c r="I111" s="3" t="s">
        <v>652</v>
      </c>
      <c r="J111" s="3" t="s">
        <v>1540</v>
      </c>
      <c r="K111" s="3" t="s">
        <v>2187</v>
      </c>
      <c r="L111" s="3" t="s">
        <v>651</v>
      </c>
      <c r="M111" s="3" t="s">
        <v>652</v>
      </c>
      <c r="N111" s="3" t="s">
        <v>651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2208</v>
      </c>
      <c r="H112" s="3" t="s">
        <v>652</v>
      </c>
      <c r="I112" s="3" t="s">
        <v>652</v>
      </c>
      <c r="J112" s="3" t="s">
        <v>1540</v>
      </c>
      <c r="K112" s="3" t="s">
        <v>2187</v>
      </c>
      <c r="L112" s="3" t="s">
        <v>651</v>
      </c>
      <c r="M112" s="3" t="s">
        <v>652</v>
      </c>
      <c r="N112" s="3" t="s">
        <v>651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2187</v>
      </c>
      <c r="L113" s="3" t="s">
        <v>651</v>
      </c>
      <c r="M113" s="3" t="s">
        <v>652</v>
      </c>
      <c r="N113" s="3" t="s">
        <v>651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2209</v>
      </c>
      <c r="H114" s="3" t="s">
        <v>652</v>
      </c>
      <c r="I114" s="3" t="s">
        <v>652</v>
      </c>
      <c r="J114" s="3" t="s">
        <v>1540</v>
      </c>
      <c r="K114" s="3" t="s">
        <v>2187</v>
      </c>
      <c r="L114" s="3" t="s">
        <v>651</v>
      </c>
      <c r="M114" s="3" t="s">
        <v>652</v>
      </c>
      <c r="N114" s="3" t="s">
        <v>651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2210</v>
      </c>
      <c r="H115" s="3" t="s">
        <v>652</v>
      </c>
      <c r="I115" s="3" t="s">
        <v>652</v>
      </c>
      <c r="J115" s="3" t="s">
        <v>1540</v>
      </c>
      <c r="K115" s="3" t="s">
        <v>2187</v>
      </c>
      <c r="L115" s="3" t="s">
        <v>651</v>
      </c>
      <c r="M115" s="3" t="s">
        <v>652</v>
      </c>
      <c r="N115" s="3" t="s">
        <v>651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2211</v>
      </c>
      <c r="H116" s="3" t="s">
        <v>652</v>
      </c>
      <c r="I116" s="3" t="s">
        <v>652</v>
      </c>
      <c r="J116" s="3" t="s">
        <v>1540</v>
      </c>
      <c r="K116" s="3" t="s">
        <v>2187</v>
      </c>
      <c r="L116" s="3" t="s">
        <v>651</v>
      </c>
      <c r="M116" s="3" t="s">
        <v>652</v>
      </c>
      <c r="N116" s="3" t="s">
        <v>651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2212</v>
      </c>
      <c r="H117" s="3" t="s">
        <v>652</v>
      </c>
      <c r="I117" s="3" t="s">
        <v>652</v>
      </c>
      <c r="J117" s="3" t="s">
        <v>1540</v>
      </c>
      <c r="K117" s="3" t="s">
        <v>2187</v>
      </c>
      <c r="L117" s="3" t="s">
        <v>651</v>
      </c>
      <c r="M117" s="3" t="s">
        <v>652</v>
      </c>
      <c r="N117" s="3" t="s">
        <v>651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2187</v>
      </c>
      <c r="L118" s="3" t="s">
        <v>652</v>
      </c>
      <c r="M118" s="3" t="s">
        <v>652</v>
      </c>
      <c r="N118" s="3" t="s">
        <v>652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2187</v>
      </c>
      <c r="L119" s="3" t="s">
        <v>652</v>
      </c>
      <c r="M119" s="3" t="s">
        <v>651</v>
      </c>
      <c r="N119" s="3" t="s">
        <v>651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2187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2187</v>
      </c>
      <c r="L121" s="3" t="s">
        <v>652</v>
      </c>
      <c r="M121" s="3" t="s">
        <v>652</v>
      </c>
      <c r="N121" s="3" t="s">
        <v>651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2248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2187</v>
      </c>
      <c r="L122" s="3" t="s">
        <v>651</v>
      </c>
      <c r="M122" s="3" t="s">
        <v>652</v>
      </c>
      <c r="N122" s="3" t="s">
        <v>651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2188</v>
      </c>
      <c r="L123" s="3" t="s">
        <v>652</v>
      </c>
      <c r="M123" s="3" t="s">
        <v>651</v>
      </c>
      <c r="N123" s="3" t="s">
        <v>651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2187</v>
      </c>
      <c r="L124" s="3" t="s">
        <v>651</v>
      </c>
      <c r="M124" s="3" t="s">
        <v>652</v>
      </c>
      <c r="N124" s="3" t="s">
        <v>651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2187</v>
      </c>
      <c r="L125" s="3" t="s">
        <v>651</v>
      </c>
      <c r="M125" s="3" t="s">
        <v>652</v>
      </c>
      <c r="N125" s="3" t="s">
        <v>651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2187</v>
      </c>
      <c r="L126" s="3" t="s">
        <v>651</v>
      </c>
      <c r="M126" s="3" t="s">
        <v>652</v>
      </c>
      <c r="N126" s="3" t="s">
        <v>651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2187</v>
      </c>
      <c r="L127" s="3" t="s">
        <v>652</v>
      </c>
      <c r="M127" s="3" t="s">
        <v>652</v>
      </c>
      <c r="N127" s="3" t="s">
        <v>651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2187</v>
      </c>
      <c r="L128" s="3" t="s">
        <v>651</v>
      </c>
      <c r="M128" s="3" t="s">
        <v>652</v>
      </c>
      <c r="N128" s="3" t="s">
        <v>651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2187</v>
      </c>
      <c r="L129" s="3" t="s">
        <v>652</v>
      </c>
      <c r="M129" s="3" t="s">
        <v>652</v>
      </c>
      <c r="N129" s="3" t="s">
        <v>652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2187</v>
      </c>
      <c r="L130" s="3" t="s">
        <v>652</v>
      </c>
      <c r="M130" s="3" t="s">
        <v>651</v>
      </c>
      <c r="N130" s="3" t="s">
        <v>651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2187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2187</v>
      </c>
      <c r="L132" s="3" t="s">
        <v>651</v>
      </c>
      <c r="M132" s="3" t="s">
        <v>652</v>
      </c>
      <c r="N132" s="3" t="s">
        <v>651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2187</v>
      </c>
      <c r="L133" s="3" t="s">
        <v>651</v>
      </c>
      <c r="M133" s="3" t="s">
        <v>652</v>
      </c>
      <c r="N133" s="3" t="s">
        <v>651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2187</v>
      </c>
      <c r="L134" s="3" t="s">
        <v>651</v>
      </c>
      <c r="M134" s="3" t="s">
        <v>652</v>
      </c>
      <c r="N134" s="3" t="s">
        <v>651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2188</v>
      </c>
      <c r="L135" s="3" t="s">
        <v>652</v>
      </c>
      <c r="M135" s="3" t="s">
        <v>651</v>
      </c>
      <c r="N135" s="3" t="s">
        <v>651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2188</v>
      </c>
      <c r="L136" s="3" t="s">
        <v>652</v>
      </c>
      <c r="M136" s="3" t="s">
        <v>651</v>
      </c>
      <c r="N136" s="3" t="s">
        <v>651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2187</v>
      </c>
      <c r="L137" s="3" t="s">
        <v>652</v>
      </c>
      <c r="M137" s="3" t="s">
        <v>652</v>
      </c>
      <c r="N137" s="3" t="s">
        <v>651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2138</v>
      </c>
      <c r="H138" s="3" t="s">
        <v>652</v>
      </c>
      <c r="I138" s="3" t="s">
        <v>652</v>
      </c>
      <c r="J138" s="3" t="s">
        <v>1540</v>
      </c>
      <c r="K138" s="3" t="s">
        <v>2187</v>
      </c>
      <c r="L138" s="3" t="s">
        <v>651</v>
      </c>
      <c r="M138" s="3" t="s">
        <v>652</v>
      </c>
      <c r="N138" s="3" t="s">
        <v>651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2191</v>
      </c>
      <c r="L139" s="3" t="s">
        <v>652</v>
      </c>
      <c r="M139" s="3" t="s">
        <v>652</v>
      </c>
      <c r="N139" s="3" t="s">
        <v>651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2191</v>
      </c>
      <c r="L140" s="3" t="s">
        <v>652</v>
      </c>
      <c r="M140" s="3" t="s">
        <v>652</v>
      </c>
      <c r="N140" s="3" t="s">
        <v>651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2191</v>
      </c>
      <c r="L141" s="3" t="s">
        <v>652</v>
      </c>
      <c r="M141" s="3" t="s">
        <v>652</v>
      </c>
      <c r="N141" s="3" t="s">
        <v>651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2191</v>
      </c>
      <c r="L142" s="3" t="s">
        <v>652</v>
      </c>
      <c r="M142" s="3" t="s">
        <v>652</v>
      </c>
      <c r="N142" s="3" t="s">
        <v>651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2191</v>
      </c>
      <c r="L143" s="3" t="s">
        <v>652</v>
      </c>
      <c r="M143" s="3" t="s">
        <v>652</v>
      </c>
      <c r="N143" s="3" t="s">
        <v>651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2187</v>
      </c>
      <c r="L144" s="3" t="s">
        <v>652</v>
      </c>
      <c r="M144" s="3" t="s">
        <v>652</v>
      </c>
      <c r="N144" s="3" t="s">
        <v>651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2187</v>
      </c>
      <c r="L145" s="3" t="s">
        <v>652</v>
      </c>
      <c r="M145" s="3" t="s">
        <v>652</v>
      </c>
      <c r="N145" s="3" t="s">
        <v>651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2187</v>
      </c>
      <c r="L146" s="3" t="s">
        <v>651</v>
      </c>
      <c r="M146" s="3" t="s">
        <v>652</v>
      </c>
      <c r="N146" s="3" t="s">
        <v>651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2187</v>
      </c>
      <c r="L147" s="3" t="s">
        <v>652</v>
      </c>
      <c r="M147" s="3" t="s">
        <v>652</v>
      </c>
      <c r="N147" s="3" t="s">
        <v>651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2187</v>
      </c>
      <c r="L148" s="3" t="s">
        <v>652</v>
      </c>
      <c r="M148" s="3" t="s">
        <v>652</v>
      </c>
      <c r="N148" s="3" t="s">
        <v>651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2187</v>
      </c>
      <c r="L149" s="3" t="s">
        <v>652</v>
      </c>
      <c r="M149" s="3" t="s">
        <v>652</v>
      </c>
      <c r="N149" s="3" t="s">
        <v>652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2187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2188</v>
      </c>
      <c r="L151" s="3" t="s">
        <v>652</v>
      </c>
      <c r="M151" s="3" t="s">
        <v>651</v>
      </c>
      <c r="N151" s="3" t="s">
        <v>651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2187</v>
      </c>
      <c r="L152" s="3" t="s">
        <v>651</v>
      </c>
      <c r="M152" s="3" t="s">
        <v>652</v>
      </c>
      <c r="N152" s="3" t="s">
        <v>651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2187</v>
      </c>
      <c r="L153" s="3" t="s">
        <v>651</v>
      </c>
      <c r="M153" s="3" t="s">
        <v>652</v>
      </c>
      <c r="N153" s="3" t="s">
        <v>651</v>
      </c>
    </row>
  </sheetData>
  <sortState xmlns:xlrd2="http://schemas.microsoft.com/office/spreadsheetml/2017/richdata2" ref="C4:N153">
    <sortCondition ref="D4:D153"/>
    <sortCondition ref="E4:E153"/>
  </sortState>
  <conditionalFormatting sqref="H4:I4 L4:N153">
    <cfRule type="cellIs" dxfId="151" priority="4" operator="equal">
      <formula>"FALSE"</formula>
    </cfRule>
    <cfRule type="cellIs" dxfId="150" priority="5" operator="equal">
      <formula>"TRUE"</formula>
    </cfRule>
  </conditionalFormatting>
  <conditionalFormatting sqref="J4:J153">
    <cfRule type="cellIs" dxfId="149" priority="1" operator="equal">
      <formula>"Obligatory"</formula>
    </cfRule>
  </conditionalFormatting>
  <conditionalFormatting sqref="H4:I153">
    <cfRule type="cellIs" dxfId="148" priority="6" operator="equal">
      <formula>"FALSE"</formula>
    </cfRule>
    <cfRule type="cellIs" dxfId="147" priority="7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2452</v>
      </c>
      <c r="B3" s="2" t="s">
        <v>551</v>
      </c>
      <c r="C3" s="2" t="s">
        <v>2453</v>
      </c>
      <c r="D3" s="2" t="s">
        <v>2455</v>
      </c>
      <c r="E3" s="2" t="s">
        <v>2454</v>
      </c>
      <c r="F3" s="2" t="s">
        <v>2456</v>
      </c>
    </row>
    <row r="4" spans="1:6" ht="25.2" customHeight="1" x14ac:dyDescent="0.3">
      <c r="A4" s="28">
        <v>1</v>
      </c>
      <c r="B4" s="62" t="s">
        <v>2466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2466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2466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2466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2466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2466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2466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2466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2466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2466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2466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2466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2466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2458</v>
      </c>
      <c r="B3" s="2" t="s">
        <v>2452</v>
      </c>
      <c r="C3" s="2" t="s">
        <v>2455</v>
      </c>
      <c r="D3" s="2" t="s">
        <v>2456</v>
      </c>
      <c r="E3" s="2" t="s">
        <v>2459</v>
      </c>
      <c r="F3" s="2" t="s">
        <v>2461</v>
      </c>
      <c r="G3" s="2" t="s">
        <v>2460</v>
      </c>
      <c r="H3" s="2" t="s">
        <v>2462</v>
      </c>
      <c r="I3" s="2" t="s">
        <v>2467</v>
      </c>
      <c r="J3" s="2" t="s">
        <v>2468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J1 J4:J1048576">
    <cfRule type="expression" dxfId="146" priority="148">
      <formula>AND(NOT(ISBLANK($J1)),($D1&lt;&gt;$J1))</formula>
    </cfRule>
    <cfRule type="expression" dxfId="145" priority="149">
      <formula>AND(NOT(ISBLANK($J1)),($D1=$J1))</formula>
    </cfRule>
  </conditionalFormatting>
  <conditionalFormatting sqref="I1 I4:I1048576">
    <cfRule type="expression" dxfId="144" priority="152">
      <formula>AND(NOT(ISBLANK($J1)),($C1&lt;&gt;$I1))</formula>
    </cfRule>
    <cfRule type="expression" dxfId="143" priority="153">
      <formula>AND(NOT(ISBLANK($J1)),($C1=$I1))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1"/>
  <sheetViews>
    <sheetView zoomScale="79" workbookViewId="0">
      <pane xSplit="4" ySplit="3" topLeftCell="E4" activePane="bottomRight" state="frozen"/>
      <selection pane="topRight" activeCell="D1" sqref="D1"/>
      <selection pane="bottomLeft" activeCell="A2" sqref="A2"/>
      <selection pane="bottomRight" activeCell="E2" sqref="E2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3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2194</v>
      </c>
      <c r="D3" s="30" t="s">
        <v>2195</v>
      </c>
      <c r="E3" s="32" t="s">
        <v>191</v>
      </c>
      <c r="F3" s="32" t="s">
        <v>2196</v>
      </c>
      <c r="G3" s="32" t="s">
        <v>2197</v>
      </c>
      <c r="H3" s="35" t="s">
        <v>2198</v>
      </c>
      <c r="I3" s="36" t="s">
        <v>2199</v>
      </c>
      <c r="J3" s="32" t="s">
        <v>192</v>
      </c>
      <c r="K3" s="32" t="s">
        <v>1614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3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3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3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3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3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3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3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3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3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3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3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3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3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3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3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3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3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3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3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3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3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3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3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3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3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3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3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3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3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3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3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3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3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3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3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3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3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3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3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3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3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3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3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3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3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3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3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3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3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3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3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3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3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3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3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3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3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3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3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3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3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3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3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3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3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3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3" t="str">
        <f>VLOOKUP(A70,Meta.Features!$A:$K,$E$1,FALSE)</f>
        <v>Nominal</v>
      </c>
      <c r="F70" s="3" t="s">
        <v>17</v>
      </c>
      <c r="G70" s="5" t="s">
        <v>1616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3" t="str">
        <f>VLOOKUP(A71,Meta.Features!$A:$K,$E$1,FALSE)</f>
        <v>Nominal</v>
      </c>
      <c r="F71" s="3" t="s">
        <v>19</v>
      </c>
      <c r="G71" s="5" t="s">
        <v>1615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3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3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3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3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3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3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3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3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3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3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3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3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3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3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3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3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3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3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3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3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3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3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3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3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3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3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3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3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3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3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3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3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3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3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3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3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3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3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3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3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3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3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3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3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3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3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3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3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3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3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3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3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3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3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3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3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3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3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3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3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3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3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3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3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3" t="str">
        <f>VLOOKUP(A136,Meta.Features!$A:$K,$E$1,FALSE)</f>
        <v>Nominal</v>
      </c>
      <c r="F136" s="3" t="s">
        <v>181</v>
      </c>
      <c r="G136" s="5" t="s">
        <v>2241</v>
      </c>
      <c r="H136" s="6" t="s">
        <v>2242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3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3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3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3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3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3" t="str">
        <f>VLOOKUP(A142,Meta.Features!$A:$K,$E$1,FALSE)</f>
        <v>Nominal</v>
      </c>
      <c r="F142" s="5" t="s">
        <v>2253</v>
      </c>
      <c r="G142" s="5" t="s">
        <v>2254</v>
      </c>
      <c r="H142" s="7" t="s">
        <v>2255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3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3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3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3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3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3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3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3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3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3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3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3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3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3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3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3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3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3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3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3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3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3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3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3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3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3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3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3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3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3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3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3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3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3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3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3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3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3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3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3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3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3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3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3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3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3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3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3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3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3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3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3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3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3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3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3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3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3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3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3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3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3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3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3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3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3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3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3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3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3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3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3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3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3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3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3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3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3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3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3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3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3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3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3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3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3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3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3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3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3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3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3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3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3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3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3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3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3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3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3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3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3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3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3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3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3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3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3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3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3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3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3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3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3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3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3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3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3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3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3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3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3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3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3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3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3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3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3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3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3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3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3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3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3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3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3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3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3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3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3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3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3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3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3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3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3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3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3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3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3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3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3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3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3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3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3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3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3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3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3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3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3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3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3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3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3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3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3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3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3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3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3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3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3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3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3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3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3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3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3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3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3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3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3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3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3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3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3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3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3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3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3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3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3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3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3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3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3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3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3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3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3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3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3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3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3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3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3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3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3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3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3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3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3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3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3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3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3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3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3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3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3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3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3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3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3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3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3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3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3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3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3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3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3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3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3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3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3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3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3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3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3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3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3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3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3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3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3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3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3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3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3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3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3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3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3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3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3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3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3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3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3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3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3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3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3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3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3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3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3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3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3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3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3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3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3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3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3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3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3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3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3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3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3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3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3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3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3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3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3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3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3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3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3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3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3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3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3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3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3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3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3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3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3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3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3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3" t="str">
        <f>VLOOKUP(A449,Meta.Features!$A:$K,$E$1,FALSE)</f>
        <v>Nominal</v>
      </c>
      <c r="F449" s="3" t="s">
        <v>2249</v>
      </c>
      <c r="G449" s="3" t="s">
        <v>2249</v>
      </c>
      <c r="H449" s="1" t="s">
        <v>2250</v>
      </c>
      <c r="I449" s="1" t="s">
        <v>2250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3" t="str">
        <f>VLOOKUP(A450,Meta.Features!$A:$K,$E$1,FALSE)</f>
        <v>Nominal</v>
      </c>
      <c r="F450" s="3" t="s">
        <v>2251</v>
      </c>
      <c r="G450" s="3" t="s">
        <v>2251</v>
      </c>
      <c r="H450" s="1" t="s">
        <v>2252</v>
      </c>
      <c r="I450" s="1" t="s">
        <v>2252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3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3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3" t="str">
        <f>VLOOKUP(A453,Meta.Features!$A:$K,$E$1,FALSE)</f>
        <v>Nominal</v>
      </c>
      <c r="F453" s="3" t="s">
        <v>2249</v>
      </c>
      <c r="G453" s="3" t="s">
        <v>2249</v>
      </c>
      <c r="H453" s="1" t="s">
        <v>2250</v>
      </c>
      <c r="I453" s="1" t="s">
        <v>2250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3" t="str">
        <f>VLOOKUP(A454,Meta.Features!$A:$K,$E$1,FALSE)</f>
        <v>Nominal</v>
      </c>
      <c r="F454" s="3" t="s">
        <v>2251</v>
      </c>
      <c r="G454" s="3" t="s">
        <v>2251</v>
      </c>
      <c r="H454" s="1" t="s">
        <v>2252</v>
      </c>
      <c r="I454" s="1" t="s">
        <v>2252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3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3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3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3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3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3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3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3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3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3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3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3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3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3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3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3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3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3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3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3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3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3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3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3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3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3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3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3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3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3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3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3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3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3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3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3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3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3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3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3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3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3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3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3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3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3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3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3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3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3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3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3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3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3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3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3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3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3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3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3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3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3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3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3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3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3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3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3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3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3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3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3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3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3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3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3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3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3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3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3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3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3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3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3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3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3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3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3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3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3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3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3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3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3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3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3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3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3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3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3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3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3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3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3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3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3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3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3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3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3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3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3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3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3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3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3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3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3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3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3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3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3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3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3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3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3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3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3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3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3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3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3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3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3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3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3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3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3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3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3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3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3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3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3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3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3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3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3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3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3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3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3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3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3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3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3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3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3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3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3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3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3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3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3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3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3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3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3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3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3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3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3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3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3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3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3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3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3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3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3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3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3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3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3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3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3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3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3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3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3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3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3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3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3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3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3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3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3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3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3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3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3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3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3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3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3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3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3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3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3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3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3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3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3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3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3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3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3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3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3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3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3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3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3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3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3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3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3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3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3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3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3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3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3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3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3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3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3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3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3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3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3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3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3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3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3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3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3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3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3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3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3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3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3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3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3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3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3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3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3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3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3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3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3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3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3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3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3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3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3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3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3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3" t="str">
        <f>VLOOKUP(A727,Meta.Features!$A:$K,$E$1,FALSE)</f>
        <v>Nominal</v>
      </c>
      <c r="F727" s="3" t="s">
        <v>2451</v>
      </c>
      <c r="G727" s="3" t="s">
        <v>2451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3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3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3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3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3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3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3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3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3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3" t="str">
        <f>VLOOKUP(A737,Meta.Features!$A:$K,$E$1,FALSE)</f>
        <v>Nominal</v>
      </c>
      <c r="F737" s="3" t="s">
        <v>2288</v>
      </c>
      <c r="G737" s="3" t="s">
        <v>2288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3" t="str">
        <f>VLOOKUP(A738,Meta.Features!$A:$K,$E$1,FALSE)</f>
        <v>Nominal</v>
      </c>
      <c r="F738" s="3" t="s">
        <v>2289</v>
      </c>
      <c r="G738" s="3" t="s">
        <v>2289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3" t="str">
        <f>VLOOKUP(A739,Meta.Features!$A:$K,$E$1,FALSE)</f>
        <v>Nominal</v>
      </c>
      <c r="F739" s="3" t="s">
        <v>2290</v>
      </c>
      <c r="G739" s="3" t="s">
        <v>2290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3" t="str">
        <f>VLOOKUP(A740,Meta.Features!$A:$K,$E$1,FALSE)</f>
        <v>Nominal</v>
      </c>
      <c r="F740" s="3" t="s">
        <v>2291</v>
      </c>
      <c r="G740" s="3" t="s">
        <v>2291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3" t="str">
        <f>VLOOKUP(A741,Meta.Features!$A:$K,$E$1,FALSE)</f>
        <v>Nominal</v>
      </c>
      <c r="F741" s="3" t="s">
        <v>2292</v>
      </c>
      <c r="G741" s="3" t="s">
        <v>2292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3" t="str">
        <f>VLOOKUP(A742,Meta.Features!$A:$K,$E$1,FALSE)</f>
        <v>Nominal</v>
      </c>
      <c r="F742" s="3" t="s">
        <v>2293</v>
      </c>
      <c r="G742" s="3" t="s">
        <v>2293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3" t="str">
        <f>VLOOKUP(A743,Meta.Features!$A:$K,$E$1,FALSE)</f>
        <v>Nominal</v>
      </c>
      <c r="F743" s="3" t="s">
        <v>2294</v>
      </c>
      <c r="G743" s="3" t="s">
        <v>2294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3" t="str">
        <f>VLOOKUP(A744,Meta.Features!$A:$K,$E$1,FALSE)</f>
        <v>Nominal</v>
      </c>
      <c r="F744" s="3" t="s">
        <v>2295</v>
      </c>
      <c r="G744" s="3" t="s">
        <v>2295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3" t="str">
        <f>VLOOKUP(A745,Meta.Features!$A:$K,$E$1,FALSE)</f>
        <v>Nominal</v>
      </c>
      <c r="F745" s="3" t="s">
        <v>2296</v>
      </c>
      <c r="G745" s="3" t="s">
        <v>2296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3" t="str">
        <f>VLOOKUP(A746,Meta.Features!$A:$K,$E$1,FALSE)</f>
        <v>Nominal</v>
      </c>
      <c r="F746" s="3" t="s">
        <v>2297</v>
      </c>
      <c r="G746" s="3" t="s">
        <v>2297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3" t="str">
        <f>VLOOKUP(A747,Meta.Features!$A:$K,$E$1,FALSE)</f>
        <v>Nominal</v>
      </c>
      <c r="F747" s="3" t="s">
        <v>2298</v>
      </c>
      <c r="G747" s="3" t="s">
        <v>2298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3" t="str">
        <f>VLOOKUP(A748,Meta.Features!$A:$K,$E$1,FALSE)</f>
        <v>Nominal</v>
      </c>
      <c r="F748" s="3" t="s">
        <v>2299</v>
      </c>
      <c r="G748" s="3" t="s">
        <v>2299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3" t="str">
        <f>VLOOKUP(A749,Meta.Features!$A:$K,$E$1,FALSE)</f>
        <v>Nominal</v>
      </c>
      <c r="F749" s="3" t="s">
        <v>2300</v>
      </c>
      <c r="G749" s="3" t="s">
        <v>2300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3" t="str">
        <f>VLOOKUP(A750,Meta.Features!$A:$K,$E$1,FALSE)</f>
        <v>Nominal</v>
      </c>
      <c r="F750" s="3" t="s">
        <v>2301</v>
      </c>
      <c r="G750" s="3" t="s">
        <v>2301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3" t="str">
        <f>VLOOKUP(A751,Meta.Features!$A:$K,$E$1,FALSE)</f>
        <v>Nominal</v>
      </c>
      <c r="F751" s="3" t="s">
        <v>2302</v>
      </c>
      <c r="G751" s="3" t="s">
        <v>2302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3" t="str">
        <f>VLOOKUP(A752,Meta.Features!$A:$K,$E$1,FALSE)</f>
        <v>Nominal</v>
      </c>
      <c r="F752" s="3" t="s">
        <v>2303</v>
      </c>
      <c r="G752" s="3" t="s">
        <v>2303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3" t="str">
        <f>VLOOKUP(A753,Meta.Features!$A:$K,$E$1,FALSE)</f>
        <v>Nominal</v>
      </c>
      <c r="F753" s="3" t="s">
        <v>2304</v>
      </c>
      <c r="G753" s="3" t="s">
        <v>2304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3" t="str">
        <f>VLOOKUP(A754,Meta.Features!$A:$K,$E$1,FALSE)</f>
        <v>Nominal</v>
      </c>
      <c r="F754" s="3" t="s">
        <v>2305</v>
      </c>
      <c r="G754" s="3" t="s">
        <v>2305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3" t="str">
        <f>VLOOKUP(A755,Meta.Features!$A:$K,$E$1,FALSE)</f>
        <v>Nominal</v>
      </c>
      <c r="F755" s="3" t="s">
        <v>2306</v>
      </c>
      <c r="G755" s="3" t="s">
        <v>2306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3" t="str">
        <f>VLOOKUP(A756,Meta.Features!$A:$K,$E$1,FALSE)</f>
        <v>Nominal</v>
      </c>
      <c r="F756" s="3" t="s">
        <v>2307</v>
      </c>
      <c r="G756" s="3" t="s">
        <v>2307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3" t="str">
        <f>VLOOKUP(A757,Meta.Features!$A:$K,$E$1,FALSE)</f>
        <v>Nominal</v>
      </c>
      <c r="F757" s="3" t="s">
        <v>2308</v>
      </c>
      <c r="G757" s="3" t="s">
        <v>2308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3" t="str">
        <f>VLOOKUP(A758,Meta.Features!$A:$K,$E$1,FALSE)</f>
        <v>Nominal</v>
      </c>
      <c r="F758" s="3" t="s">
        <v>2309</v>
      </c>
      <c r="G758" s="3" t="s">
        <v>2309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3" t="str">
        <f>VLOOKUP(A759,Meta.Features!$A:$K,$E$1,FALSE)</f>
        <v>Nominal</v>
      </c>
      <c r="F759" s="3" t="s">
        <v>2310</v>
      </c>
      <c r="G759" s="3" t="s">
        <v>2310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3" t="str">
        <f>VLOOKUP(A760,Meta.Features!$A:$K,$E$1,FALSE)</f>
        <v>Nominal</v>
      </c>
      <c r="F760" s="3" t="s">
        <v>2311</v>
      </c>
      <c r="G760" s="3" t="s">
        <v>2311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3" t="str">
        <f>VLOOKUP(A761,Meta.Features!$A:$K,$E$1,FALSE)</f>
        <v>Nominal</v>
      </c>
      <c r="F761" s="3" t="s">
        <v>2312</v>
      </c>
      <c r="G761" s="3" t="s">
        <v>2312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3" t="str">
        <f>VLOOKUP(A762,Meta.Features!$A:$K,$E$1,FALSE)</f>
        <v>Nominal</v>
      </c>
      <c r="F762" s="3" t="s">
        <v>2313</v>
      </c>
      <c r="G762" s="3" t="s">
        <v>2313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3" t="str">
        <f>VLOOKUP(A763,Meta.Features!$A:$K,$E$1,FALSE)</f>
        <v>Nominal</v>
      </c>
      <c r="F763" s="3" t="s">
        <v>2314</v>
      </c>
      <c r="G763" s="3" t="s">
        <v>2314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3" t="str">
        <f>VLOOKUP(A764,Meta.Features!$A:$K,$E$1,FALSE)</f>
        <v>Nominal</v>
      </c>
      <c r="F764" s="3" t="s">
        <v>2315</v>
      </c>
      <c r="G764" s="3" t="s">
        <v>2315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3" t="str">
        <f>VLOOKUP(A765,Meta.Features!$A:$K,$E$1,FALSE)</f>
        <v>Nominal</v>
      </c>
      <c r="F765" s="3" t="s">
        <v>2316</v>
      </c>
      <c r="G765" s="3" t="s">
        <v>2316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3" t="str">
        <f>VLOOKUP(A766,Meta.Features!$A:$K,$E$1,FALSE)</f>
        <v>Nominal</v>
      </c>
      <c r="F766" s="3" t="s">
        <v>2317</v>
      </c>
      <c r="G766" s="3" t="s">
        <v>2317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3" t="str">
        <f>VLOOKUP(A767,Meta.Features!$A:$K,$E$1,FALSE)</f>
        <v>Nominal</v>
      </c>
      <c r="F767" s="3" t="s">
        <v>2318</v>
      </c>
      <c r="G767" s="3" t="s">
        <v>2318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3" t="str">
        <f>VLOOKUP(A768,Meta.Features!$A:$K,$E$1,FALSE)</f>
        <v>Nominal</v>
      </c>
      <c r="F768" s="3" t="s">
        <v>2319</v>
      </c>
      <c r="G768" s="3" t="s">
        <v>2319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3" t="str">
        <f>VLOOKUP(A769,Meta.Features!$A:$K,$E$1,FALSE)</f>
        <v>Nominal</v>
      </c>
      <c r="F769" s="3" t="s">
        <v>2320</v>
      </c>
      <c r="G769" s="3" t="s">
        <v>2320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3" t="str">
        <f>VLOOKUP(A770,Meta.Features!$A:$K,$E$1,FALSE)</f>
        <v>Nominal</v>
      </c>
      <c r="F770" s="3" t="s">
        <v>2321</v>
      </c>
      <c r="G770" s="3" t="s">
        <v>2321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3" t="str">
        <f>VLOOKUP(A771,Meta.Features!$A:$K,$E$1,FALSE)</f>
        <v>Nominal</v>
      </c>
      <c r="F771" s="3" t="s">
        <v>2322</v>
      </c>
      <c r="G771" s="3" t="s">
        <v>2322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3" t="str">
        <f>VLOOKUP(A772,Meta.Features!$A:$K,$E$1,FALSE)</f>
        <v>Nominal</v>
      </c>
      <c r="F772" s="3" t="s">
        <v>2323</v>
      </c>
      <c r="G772" s="3" t="s">
        <v>2323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3" t="str">
        <f>VLOOKUP(A773,Meta.Features!$A:$K,$E$1,FALSE)</f>
        <v>Nominal</v>
      </c>
      <c r="F773" s="3" t="s">
        <v>2324</v>
      </c>
      <c r="G773" s="3" t="s">
        <v>2324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3" t="str">
        <f>VLOOKUP(A774,Meta.Features!$A:$K,$E$1,FALSE)</f>
        <v>Nominal</v>
      </c>
      <c r="F774" s="3" t="s">
        <v>2325</v>
      </c>
      <c r="G774" s="3" t="s">
        <v>2325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3" t="str">
        <f>VLOOKUP(A775,Meta.Features!$A:$K,$E$1,FALSE)</f>
        <v>Nominal</v>
      </c>
      <c r="F775" s="3" t="s">
        <v>2326</v>
      </c>
      <c r="G775" s="3" t="s">
        <v>2326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3" t="str">
        <f>VLOOKUP(A776,Meta.Features!$A:$K,$E$1,FALSE)</f>
        <v>Nominal</v>
      </c>
      <c r="F776" s="3" t="s">
        <v>2327</v>
      </c>
      <c r="G776" s="3" t="s">
        <v>2327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3" t="str">
        <f>VLOOKUP(A777,Meta.Features!$A:$K,$E$1,FALSE)</f>
        <v>Nominal</v>
      </c>
      <c r="F777" s="3" t="s">
        <v>2328</v>
      </c>
      <c r="G777" s="3" t="s">
        <v>2328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3" t="str">
        <f>VLOOKUP(A778,Meta.Features!$A:$K,$E$1,FALSE)</f>
        <v>Nominal</v>
      </c>
      <c r="F778" s="3" t="s">
        <v>2329</v>
      </c>
      <c r="G778" s="3" t="s">
        <v>2329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3" t="str">
        <f>VLOOKUP(A779,Meta.Features!$A:$K,$E$1,FALSE)</f>
        <v>Nominal</v>
      </c>
      <c r="F779" s="3" t="s">
        <v>2330</v>
      </c>
      <c r="G779" s="3" t="s">
        <v>2330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3" t="str">
        <f>VLOOKUP(A780,Meta.Features!$A:$K,$E$1,FALSE)</f>
        <v>Nominal</v>
      </c>
      <c r="F780" s="3" t="s">
        <v>2331</v>
      </c>
      <c r="G780" s="3" t="s">
        <v>2331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3" t="str">
        <f>VLOOKUP(A781,Meta.Features!$A:$K,$E$1,FALSE)</f>
        <v>Nominal</v>
      </c>
      <c r="F781" s="3" t="s">
        <v>2332</v>
      </c>
      <c r="G781" s="3" t="s">
        <v>2332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3" t="str">
        <f>VLOOKUP(A782,Meta.Features!$A:$K,$E$1,FALSE)</f>
        <v>Nominal</v>
      </c>
      <c r="F782" s="3" t="s">
        <v>2333</v>
      </c>
      <c r="G782" s="3" t="s">
        <v>2333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3" t="str">
        <f>VLOOKUP(A783,Meta.Features!$A:$K,$E$1,FALSE)</f>
        <v>Nominal</v>
      </c>
      <c r="F783" s="3" t="s">
        <v>2334</v>
      </c>
      <c r="G783" s="3" t="s">
        <v>2334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3" t="str">
        <f>VLOOKUP(A784,Meta.Features!$A:$K,$E$1,FALSE)</f>
        <v>Nominal</v>
      </c>
      <c r="F784" s="3" t="s">
        <v>2335</v>
      </c>
      <c r="G784" s="3" t="s">
        <v>2335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3" t="str">
        <f>VLOOKUP(A785,Meta.Features!$A:$K,$E$1,FALSE)</f>
        <v>Nominal</v>
      </c>
      <c r="F785" s="3" t="s">
        <v>2336</v>
      </c>
      <c r="G785" s="3" t="s">
        <v>2336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3" t="str">
        <f>VLOOKUP(A786,Meta.Features!$A:$K,$E$1,FALSE)</f>
        <v>Nominal</v>
      </c>
      <c r="F786" s="3" t="s">
        <v>2337</v>
      </c>
      <c r="G786" s="3" t="s">
        <v>2337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3" t="str">
        <f>VLOOKUP(A787,Meta.Features!$A:$K,$E$1,FALSE)</f>
        <v>Nominal</v>
      </c>
      <c r="F787" s="3" t="s">
        <v>2338</v>
      </c>
      <c r="G787" s="3" t="s">
        <v>2338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3" t="str">
        <f>VLOOKUP(A788,Meta.Features!$A:$K,$E$1,FALSE)</f>
        <v>Nominal</v>
      </c>
      <c r="F788" s="3" t="s">
        <v>2339</v>
      </c>
      <c r="G788" s="3" t="s">
        <v>2339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3" t="str">
        <f>VLOOKUP(A789,Meta.Features!$A:$K,$E$1,FALSE)</f>
        <v>Nominal</v>
      </c>
      <c r="F789" s="3" t="s">
        <v>2340</v>
      </c>
      <c r="G789" s="3" t="s">
        <v>2340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3" t="str">
        <f>VLOOKUP(A790,Meta.Features!$A:$K,$E$1,FALSE)</f>
        <v>Nominal</v>
      </c>
      <c r="F790" s="3" t="s">
        <v>2341</v>
      </c>
      <c r="G790" s="3" t="s">
        <v>2341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3" t="str">
        <f>VLOOKUP(A791,Meta.Features!$A:$K,$E$1,FALSE)</f>
        <v>Nominal</v>
      </c>
      <c r="F791" s="3" t="s">
        <v>2342</v>
      </c>
      <c r="G791" s="3" t="s">
        <v>2342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3" t="str">
        <f>VLOOKUP(A792,Meta.Features!$A:$K,$E$1,FALSE)</f>
        <v>Nominal</v>
      </c>
      <c r="F792" s="3" t="s">
        <v>2343</v>
      </c>
      <c r="G792" s="3" t="s">
        <v>2343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3" t="str">
        <f>VLOOKUP(A793,Meta.Features!$A:$K,$E$1,FALSE)</f>
        <v>Nominal</v>
      </c>
      <c r="F793" s="3" t="s">
        <v>2344</v>
      </c>
      <c r="G793" s="3" t="s">
        <v>2344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3" t="str">
        <f>VLOOKUP(A794,Meta.Features!$A:$K,$E$1,FALSE)</f>
        <v>Nominal</v>
      </c>
      <c r="F794" s="3" t="s">
        <v>2345</v>
      </c>
      <c r="G794" s="3" t="s">
        <v>2345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3" t="str">
        <f>VLOOKUP(A795,Meta.Features!$A:$K,$E$1,FALSE)</f>
        <v>Nominal</v>
      </c>
      <c r="F795" s="3" t="s">
        <v>2346</v>
      </c>
      <c r="G795" s="3" t="s">
        <v>2346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3" t="str">
        <f>VLOOKUP(A796,Meta.Features!$A:$K,$E$1,FALSE)</f>
        <v>Nominal</v>
      </c>
      <c r="F796" s="3" t="s">
        <v>2347</v>
      </c>
      <c r="G796" s="3" t="s">
        <v>2347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3" t="str">
        <f>VLOOKUP(A797,Meta.Features!$A:$K,$E$1,FALSE)</f>
        <v>Nominal</v>
      </c>
      <c r="F797" s="3" t="s">
        <v>2348</v>
      </c>
      <c r="G797" s="3" t="s">
        <v>2348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3" t="str">
        <f>VLOOKUP(A798,Meta.Features!$A:$K,$E$1,FALSE)</f>
        <v>Nominal</v>
      </c>
      <c r="F798" s="3" t="s">
        <v>2349</v>
      </c>
      <c r="G798" s="3" t="s">
        <v>2349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3" t="str">
        <f>VLOOKUP(A799,Meta.Features!$A:$K,$E$1,FALSE)</f>
        <v>Nominal</v>
      </c>
      <c r="F799" s="3" t="s">
        <v>2350</v>
      </c>
      <c r="G799" s="3" t="s">
        <v>2350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3" t="str">
        <f>VLOOKUP(A800,Meta.Features!$A:$K,$E$1,FALSE)</f>
        <v>Nominal</v>
      </c>
      <c r="F800" s="3" t="s">
        <v>2351</v>
      </c>
      <c r="G800" s="3" t="s">
        <v>2351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3" t="str">
        <f>VLOOKUP(A801,Meta.Features!$A:$K,$E$1,FALSE)</f>
        <v>Nominal</v>
      </c>
      <c r="F801" s="3" t="s">
        <v>2352</v>
      </c>
      <c r="G801" s="3" t="s">
        <v>2352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3" t="str">
        <f>VLOOKUP(A802,Meta.Features!$A:$K,$E$1,FALSE)</f>
        <v>Nominal</v>
      </c>
      <c r="F802" s="3" t="s">
        <v>2353</v>
      </c>
      <c r="G802" s="3" t="s">
        <v>2353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3" t="str">
        <f>VLOOKUP(A803,Meta.Features!$A:$K,$E$1,FALSE)</f>
        <v>Nominal</v>
      </c>
      <c r="F803" s="3" t="s">
        <v>2354</v>
      </c>
      <c r="G803" s="3" t="s">
        <v>2354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3" t="str">
        <f>VLOOKUP(A804,Meta.Features!$A:$K,$E$1,FALSE)</f>
        <v>Nominal</v>
      </c>
      <c r="F804" s="3" t="s">
        <v>2355</v>
      </c>
      <c r="G804" s="3" t="s">
        <v>2355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3" t="str">
        <f>VLOOKUP(A805,Meta.Features!$A:$K,$E$1,FALSE)</f>
        <v>Nominal</v>
      </c>
      <c r="F805" s="3" t="s">
        <v>2356</v>
      </c>
      <c r="G805" s="3" t="s">
        <v>2356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3" t="str">
        <f>VLOOKUP(A806,Meta.Features!$A:$K,$E$1,FALSE)</f>
        <v>Nominal</v>
      </c>
      <c r="F806" s="3" t="s">
        <v>2357</v>
      </c>
      <c r="G806" s="3" t="s">
        <v>2357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3" t="str">
        <f>VLOOKUP(A807,Meta.Features!$A:$K,$E$1,FALSE)</f>
        <v>Nominal</v>
      </c>
      <c r="F807" s="3" t="s">
        <v>2358</v>
      </c>
      <c r="G807" s="3" t="s">
        <v>2358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3" t="str">
        <f>VLOOKUP(A808,Meta.Features!$A:$K,$E$1,FALSE)</f>
        <v>Nominal</v>
      </c>
      <c r="F808" s="3" t="s">
        <v>2359</v>
      </c>
      <c r="G808" s="3" t="s">
        <v>2359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3" t="str">
        <f>VLOOKUP(A809,Meta.Features!$A:$K,$E$1,FALSE)</f>
        <v>Nominal</v>
      </c>
      <c r="F809" s="3" t="s">
        <v>2360</v>
      </c>
      <c r="G809" s="3" t="s">
        <v>2360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3" t="str">
        <f>VLOOKUP(A810,Meta.Features!$A:$K,$E$1,FALSE)</f>
        <v>Nominal</v>
      </c>
      <c r="F810" s="3" t="s">
        <v>2361</v>
      </c>
      <c r="G810" s="3" t="s">
        <v>2361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3" t="str">
        <f>VLOOKUP(A811,Meta.Features!$A:$K,$E$1,FALSE)</f>
        <v>Nominal</v>
      </c>
      <c r="F811" s="3" t="s">
        <v>2362</v>
      </c>
      <c r="G811" s="3" t="s">
        <v>2362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3" t="str">
        <f>VLOOKUP(A812,Meta.Features!$A:$K,$E$1,FALSE)</f>
        <v>Nominal</v>
      </c>
      <c r="F812" s="3" t="s">
        <v>2363</v>
      </c>
      <c r="G812" s="3" t="s">
        <v>2363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3" t="str">
        <f>VLOOKUP(A813,Meta.Features!$A:$K,$E$1,FALSE)</f>
        <v>Nominal</v>
      </c>
      <c r="F813" s="3" t="s">
        <v>2364</v>
      </c>
      <c r="G813" s="3" t="s">
        <v>2364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3" t="str">
        <f>VLOOKUP(A814,Meta.Features!$A:$K,$E$1,FALSE)</f>
        <v>Nominal</v>
      </c>
      <c r="F814" s="3" t="s">
        <v>2365</v>
      </c>
      <c r="G814" s="3" t="s">
        <v>2365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3" t="str">
        <f>VLOOKUP(A815,Meta.Features!$A:$K,$E$1,FALSE)</f>
        <v>Nominal</v>
      </c>
      <c r="F815" s="3" t="s">
        <v>2366</v>
      </c>
      <c r="G815" s="3" t="s">
        <v>2366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3" t="str">
        <f>VLOOKUP(A816,Meta.Features!$A:$K,$E$1,FALSE)</f>
        <v>Nominal</v>
      </c>
      <c r="F816" s="3" t="s">
        <v>2367</v>
      </c>
      <c r="G816" s="3" t="s">
        <v>2367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3" t="str">
        <f>VLOOKUP(A817,Meta.Features!$A:$K,$E$1,FALSE)</f>
        <v>Nominal</v>
      </c>
      <c r="F817" s="3" t="s">
        <v>2368</v>
      </c>
      <c r="G817" s="3" t="s">
        <v>2368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3" t="str">
        <f>VLOOKUP(A818,Meta.Features!$A:$K,$E$1,FALSE)</f>
        <v>Nominal</v>
      </c>
      <c r="F818" s="3" t="s">
        <v>2369</v>
      </c>
      <c r="G818" s="3" t="s">
        <v>2369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3" t="str">
        <f>VLOOKUP(A819,Meta.Features!$A:$K,$E$1,FALSE)</f>
        <v>Nominal</v>
      </c>
      <c r="F819" s="3" t="s">
        <v>2370</v>
      </c>
      <c r="G819" s="3" t="s">
        <v>2370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3" t="str">
        <f>VLOOKUP(A820,Meta.Features!$A:$K,$E$1,FALSE)</f>
        <v>Nominal</v>
      </c>
      <c r="F820" s="3" t="s">
        <v>2371</v>
      </c>
      <c r="G820" s="3" t="s">
        <v>2371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3" t="str">
        <f>VLOOKUP(A821,Meta.Features!$A:$K,$E$1,FALSE)</f>
        <v>Nominal</v>
      </c>
      <c r="F821" s="3" t="s">
        <v>2372</v>
      </c>
      <c r="G821" s="3" t="s">
        <v>2372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3" t="str">
        <f>VLOOKUP(A822,Meta.Features!$A:$K,$E$1,FALSE)</f>
        <v>Nominal</v>
      </c>
      <c r="F822" s="3" t="s">
        <v>2373</v>
      </c>
      <c r="G822" s="3" t="s">
        <v>2373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3" t="str">
        <f>VLOOKUP(A823,Meta.Features!$A:$K,$E$1,FALSE)</f>
        <v>Nominal</v>
      </c>
      <c r="F823" s="3" t="s">
        <v>2374</v>
      </c>
      <c r="G823" s="3" t="s">
        <v>2374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3" t="str">
        <f>VLOOKUP(A824,Meta.Features!$A:$K,$E$1,FALSE)</f>
        <v>Nominal</v>
      </c>
      <c r="F824" s="3" t="s">
        <v>2375</v>
      </c>
      <c r="G824" s="3" t="s">
        <v>2375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3" t="str">
        <f>VLOOKUP(A825,Meta.Features!$A:$K,$E$1,FALSE)</f>
        <v>Nominal</v>
      </c>
      <c r="F825" s="3" t="s">
        <v>2376</v>
      </c>
      <c r="G825" s="3" t="s">
        <v>2376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3" t="str">
        <f>VLOOKUP(A826,Meta.Features!$A:$K,$E$1,FALSE)</f>
        <v>Nominal</v>
      </c>
      <c r="F826" s="3" t="s">
        <v>2377</v>
      </c>
      <c r="G826" s="3" t="s">
        <v>2377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3" t="str">
        <f>VLOOKUP(A827,Meta.Features!$A:$K,$E$1,FALSE)</f>
        <v>Nominal</v>
      </c>
      <c r="F827" s="3" t="s">
        <v>2378</v>
      </c>
      <c r="G827" s="3" t="s">
        <v>2378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3" t="str">
        <f>VLOOKUP(A828,Meta.Features!$A:$K,$E$1,FALSE)</f>
        <v>Nominal</v>
      </c>
      <c r="F828" s="3" t="s">
        <v>2379</v>
      </c>
      <c r="G828" s="3" t="s">
        <v>2379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3" t="str">
        <f>VLOOKUP(A829,Meta.Features!$A:$K,$E$1,FALSE)</f>
        <v>Nominal</v>
      </c>
      <c r="F829" s="3" t="s">
        <v>2380</v>
      </c>
      <c r="G829" s="3" t="s">
        <v>2380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3" t="str">
        <f>VLOOKUP(A830,Meta.Features!$A:$K,$E$1,FALSE)</f>
        <v>Nominal</v>
      </c>
      <c r="F830" s="3" t="s">
        <v>2381</v>
      </c>
      <c r="G830" s="3" t="s">
        <v>2381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3" t="str">
        <f>VLOOKUP(A831,Meta.Features!$A:$K,$E$1,FALSE)</f>
        <v>Nominal</v>
      </c>
      <c r="F831" s="3" t="s">
        <v>2382</v>
      </c>
      <c r="G831" s="3" t="s">
        <v>2382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3" t="str">
        <f>VLOOKUP(A832,Meta.Features!$A:$K,$E$1,FALSE)</f>
        <v>Nominal</v>
      </c>
      <c r="F832" s="3" t="s">
        <v>2383</v>
      </c>
      <c r="G832" s="3" t="s">
        <v>2383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3" t="str">
        <f>VLOOKUP(A833,Meta.Features!$A:$K,$E$1,FALSE)</f>
        <v>Nominal</v>
      </c>
      <c r="F833" s="3" t="s">
        <v>2384</v>
      </c>
      <c r="G833" s="3" t="s">
        <v>2384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3" t="str">
        <f>VLOOKUP(A834,Meta.Features!$A:$K,$E$1,FALSE)</f>
        <v>Nominal</v>
      </c>
      <c r="F834" s="3" t="s">
        <v>2385</v>
      </c>
      <c r="G834" s="3" t="s">
        <v>2385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3" t="str">
        <f>VLOOKUP(A835,Meta.Features!$A:$K,$E$1,FALSE)</f>
        <v>Nominal</v>
      </c>
      <c r="F835" s="3" t="s">
        <v>2386</v>
      </c>
      <c r="G835" s="3" t="s">
        <v>2386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3" t="str">
        <f>VLOOKUP(A836,Meta.Features!$A:$K,$E$1,FALSE)</f>
        <v>Nominal</v>
      </c>
      <c r="F836" s="3" t="s">
        <v>2387</v>
      </c>
      <c r="G836" s="3" t="s">
        <v>2387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3" t="str">
        <f>VLOOKUP(A837,Meta.Features!$A:$K,$E$1,FALSE)</f>
        <v>Nominal</v>
      </c>
      <c r="F837" s="3" t="s">
        <v>2388</v>
      </c>
      <c r="G837" s="3" t="s">
        <v>2388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3" t="str">
        <f>VLOOKUP(A838,Meta.Features!$A:$K,$E$1,FALSE)</f>
        <v>Nominal</v>
      </c>
      <c r="F838" s="3" t="s">
        <v>2389</v>
      </c>
      <c r="G838" s="3" t="s">
        <v>2389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3" t="str">
        <f>VLOOKUP(A839,Meta.Features!$A:$K,$E$1,FALSE)</f>
        <v>Nominal</v>
      </c>
      <c r="F839" s="3" t="s">
        <v>2390</v>
      </c>
      <c r="G839" s="3" t="s">
        <v>2390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3" t="str">
        <f>VLOOKUP(A840,Meta.Features!$A:$K,$E$1,FALSE)</f>
        <v>Nominal</v>
      </c>
      <c r="F840" s="3" t="s">
        <v>2391</v>
      </c>
      <c r="G840" s="3" t="s">
        <v>2391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3" t="str">
        <f>VLOOKUP(A841,Meta.Features!$A:$K,$E$1,FALSE)</f>
        <v>Nominal</v>
      </c>
      <c r="F841" s="3" t="s">
        <v>2392</v>
      </c>
      <c r="G841" s="3" t="s">
        <v>2392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3" t="str">
        <f>VLOOKUP(A842,Meta.Features!$A:$K,$E$1,FALSE)</f>
        <v>Nominal</v>
      </c>
      <c r="F842" s="3" t="s">
        <v>2393</v>
      </c>
      <c r="G842" s="3" t="s">
        <v>2393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3" t="str">
        <f>VLOOKUP(A843,Meta.Features!$A:$K,$E$1,FALSE)</f>
        <v>Nominal</v>
      </c>
      <c r="F843" s="3" t="s">
        <v>2394</v>
      </c>
      <c r="G843" s="3" t="s">
        <v>2394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3" t="str">
        <f>VLOOKUP(A844,Meta.Features!$A:$K,$E$1,FALSE)</f>
        <v>Nominal</v>
      </c>
      <c r="F844" s="3" t="s">
        <v>2395</v>
      </c>
      <c r="G844" s="3" t="s">
        <v>2395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3" t="str">
        <f>VLOOKUP(A845,Meta.Features!$A:$K,$E$1,FALSE)</f>
        <v>Nominal</v>
      </c>
      <c r="F845" s="3" t="s">
        <v>2396</v>
      </c>
      <c r="G845" s="3" t="s">
        <v>2396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3" t="str">
        <f>VLOOKUP(A846,Meta.Features!$A:$K,$E$1,FALSE)</f>
        <v>Nominal</v>
      </c>
      <c r="F846" s="3" t="s">
        <v>2397</v>
      </c>
      <c r="G846" s="3" t="s">
        <v>2397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3" t="str">
        <f>VLOOKUP(A847,Meta.Features!$A:$K,$E$1,FALSE)</f>
        <v>Nominal</v>
      </c>
      <c r="F847" s="3" t="s">
        <v>2398</v>
      </c>
      <c r="G847" s="3" t="s">
        <v>2398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3" t="str">
        <f>VLOOKUP(A848,Meta.Features!$A:$K,$E$1,FALSE)</f>
        <v>Nominal</v>
      </c>
      <c r="F848" s="3" t="s">
        <v>2399</v>
      </c>
      <c r="G848" s="3" t="s">
        <v>2399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3" t="str">
        <f>VLOOKUP(A849,Meta.Features!$A:$K,$E$1,FALSE)</f>
        <v>Nominal</v>
      </c>
      <c r="F849" s="3" t="s">
        <v>2400</v>
      </c>
      <c r="G849" s="3" t="s">
        <v>2400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3" t="str">
        <f>VLOOKUP(A850,Meta.Features!$A:$K,$E$1,FALSE)</f>
        <v>Nominal</v>
      </c>
      <c r="F850" s="3" t="s">
        <v>2401</v>
      </c>
      <c r="G850" s="3" t="s">
        <v>2401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3" t="str">
        <f>VLOOKUP(A851,Meta.Features!$A:$K,$E$1,FALSE)</f>
        <v>Nominal</v>
      </c>
      <c r="F851" s="3" t="s">
        <v>2402</v>
      </c>
      <c r="G851" s="3" t="s">
        <v>2402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3" t="str">
        <f>VLOOKUP(A852,Meta.Features!$A:$K,$E$1,FALSE)</f>
        <v>Nominal</v>
      </c>
      <c r="F852" s="3" t="s">
        <v>2403</v>
      </c>
      <c r="G852" s="3" t="s">
        <v>2403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3" t="str">
        <f>VLOOKUP(A853,Meta.Features!$A:$K,$E$1,FALSE)</f>
        <v>Nominal</v>
      </c>
      <c r="F853" s="3" t="s">
        <v>2404</v>
      </c>
      <c r="G853" s="3" t="s">
        <v>2404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3" t="str">
        <f>VLOOKUP(A854,Meta.Features!$A:$K,$E$1,FALSE)</f>
        <v>Nominal</v>
      </c>
      <c r="F854" s="3" t="s">
        <v>2405</v>
      </c>
      <c r="G854" s="3" t="s">
        <v>2405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3" t="str">
        <f>VLOOKUP(A855,Meta.Features!$A:$K,$E$1,FALSE)</f>
        <v>Nominal</v>
      </c>
      <c r="F855" s="3" t="s">
        <v>2406</v>
      </c>
      <c r="G855" s="3" t="s">
        <v>2406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3" t="str">
        <f>VLOOKUP(A856,Meta.Features!$A:$K,$E$1,FALSE)</f>
        <v>Nominal</v>
      </c>
      <c r="F856" s="3" t="s">
        <v>2407</v>
      </c>
      <c r="G856" s="3" t="s">
        <v>2407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3" t="str">
        <f>VLOOKUP(A857,Meta.Features!$A:$K,$E$1,FALSE)</f>
        <v>Nominal</v>
      </c>
      <c r="F857" s="3" t="s">
        <v>2408</v>
      </c>
      <c r="G857" s="3" t="s">
        <v>2408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3" t="str">
        <f>VLOOKUP(A858,Meta.Features!$A:$K,$E$1,FALSE)</f>
        <v>Nominal</v>
      </c>
      <c r="F858" s="3" t="s">
        <v>2409</v>
      </c>
      <c r="G858" s="3" t="s">
        <v>2409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3" t="str">
        <f>VLOOKUP(A859,Meta.Features!$A:$K,$E$1,FALSE)</f>
        <v>Nominal</v>
      </c>
      <c r="F859" s="3" t="s">
        <v>2410</v>
      </c>
      <c r="G859" s="3" t="s">
        <v>2410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3" t="str">
        <f>VLOOKUP(A860,Meta.Features!$A:$K,$E$1,FALSE)</f>
        <v>Nominal</v>
      </c>
      <c r="F860" s="3" t="s">
        <v>2411</v>
      </c>
      <c r="G860" s="3" t="s">
        <v>2411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3" t="str">
        <f>VLOOKUP(A861,Meta.Features!$A:$K,$E$1,FALSE)</f>
        <v>Nominal</v>
      </c>
      <c r="F861" s="3" t="s">
        <v>2412</v>
      </c>
      <c r="G861" s="3" t="s">
        <v>2412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3" t="str">
        <f>VLOOKUP(A862,Meta.Features!$A:$K,$E$1,FALSE)</f>
        <v>Nominal</v>
      </c>
      <c r="F862" s="3" t="s">
        <v>2413</v>
      </c>
      <c r="G862" s="3" t="s">
        <v>2413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3" t="str">
        <f>VLOOKUP(A863,Meta.Features!$A:$K,$E$1,FALSE)</f>
        <v>Nominal</v>
      </c>
      <c r="F863" s="3" t="s">
        <v>2414</v>
      </c>
      <c r="G863" s="3" t="s">
        <v>2414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3" t="str">
        <f>VLOOKUP(A864,Meta.Features!$A:$K,$E$1,FALSE)</f>
        <v>Nominal</v>
      </c>
      <c r="F864" s="3" t="s">
        <v>2415</v>
      </c>
      <c r="G864" s="3" t="s">
        <v>2415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3" t="str">
        <f>VLOOKUP(A865,Meta.Features!$A:$K,$E$1,FALSE)</f>
        <v>Nominal</v>
      </c>
      <c r="F865" s="3" t="s">
        <v>2416</v>
      </c>
      <c r="G865" s="3" t="s">
        <v>2416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3" t="str">
        <f>VLOOKUP(A866,Meta.Features!$A:$K,$E$1,FALSE)</f>
        <v>Nominal</v>
      </c>
      <c r="F866" s="3" t="s">
        <v>2417</v>
      </c>
      <c r="G866" s="3" t="s">
        <v>2417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3" t="str">
        <f>VLOOKUP(A867,Meta.Features!$A:$K,$E$1,FALSE)</f>
        <v>Nominal</v>
      </c>
      <c r="F867" s="3" t="s">
        <v>2418</v>
      </c>
      <c r="G867" s="3" t="s">
        <v>2418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3" t="str">
        <f>VLOOKUP(A868,Meta.Features!$A:$K,$E$1,FALSE)</f>
        <v>Nominal</v>
      </c>
      <c r="F868" s="3" t="s">
        <v>2419</v>
      </c>
      <c r="G868" s="3" t="s">
        <v>2419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3" t="str">
        <f>VLOOKUP(A869,Meta.Features!$A:$K,$E$1,FALSE)</f>
        <v>Nominal</v>
      </c>
      <c r="F869" s="3" t="s">
        <v>2420</v>
      </c>
      <c r="G869" s="3" t="s">
        <v>2420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3" t="str">
        <f>VLOOKUP(A870,Meta.Features!$A:$K,$E$1,FALSE)</f>
        <v>Nominal</v>
      </c>
      <c r="F870" s="3" t="s">
        <v>2421</v>
      </c>
      <c r="G870" s="3" t="s">
        <v>2421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3" t="str">
        <f>VLOOKUP(A871,Meta.Features!$A:$K,$E$1,FALSE)</f>
        <v>Nominal</v>
      </c>
      <c r="F871" s="3" t="s">
        <v>2422</v>
      </c>
      <c r="G871" s="3" t="s">
        <v>2422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3" t="str">
        <f>VLOOKUP(A872,Meta.Features!$A:$K,$E$1,FALSE)</f>
        <v>Nominal</v>
      </c>
      <c r="F872" s="3" t="s">
        <v>2423</v>
      </c>
      <c r="G872" s="3" t="s">
        <v>2423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3" t="str">
        <f>VLOOKUP(A873,Meta.Features!$A:$K,$E$1,FALSE)</f>
        <v>Nominal</v>
      </c>
      <c r="F873" s="3" t="s">
        <v>2424</v>
      </c>
      <c r="G873" s="3" t="s">
        <v>2424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3" t="str">
        <f>VLOOKUP(A874,Meta.Features!$A:$K,$E$1,FALSE)</f>
        <v>Nominal</v>
      </c>
      <c r="F874" s="3" t="s">
        <v>2425</v>
      </c>
      <c r="G874" s="3" t="s">
        <v>2425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3" t="str">
        <f>VLOOKUP(A875,Meta.Features!$A:$K,$E$1,FALSE)</f>
        <v>Nominal</v>
      </c>
      <c r="F875" s="3" t="s">
        <v>2426</v>
      </c>
      <c r="G875" s="3" t="s">
        <v>2426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3" t="str">
        <f>VLOOKUP(A876,Meta.Features!$A:$K,$E$1,FALSE)</f>
        <v>Nominal</v>
      </c>
      <c r="F876" s="3" t="s">
        <v>2427</v>
      </c>
      <c r="G876" s="3" t="s">
        <v>2427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3" t="str">
        <f>VLOOKUP(A877,Meta.Features!$A:$K,$E$1,FALSE)</f>
        <v>Nominal</v>
      </c>
      <c r="F877" s="3" t="s">
        <v>2428</v>
      </c>
      <c r="G877" s="3" t="s">
        <v>2428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3" t="str">
        <f>VLOOKUP(A878,Meta.Features!$A:$K,$E$1,FALSE)</f>
        <v>Nominal</v>
      </c>
      <c r="F878" s="3" t="s">
        <v>2429</v>
      </c>
      <c r="G878" s="3" t="s">
        <v>2429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3" t="str">
        <f>VLOOKUP(A879,Meta.Features!$A:$K,$E$1,FALSE)</f>
        <v>Nominal</v>
      </c>
      <c r="F879" s="3" t="s">
        <v>2430</v>
      </c>
      <c r="G879" s="3" t="s">
        <v>2430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3" t="str">
        <f>VLOOKUP(A880,Meta.Features!$A:$K,$E$1,FALSE)</f>
        <v>Nominal</v>
      </c>
      <c r="F880" s="3" t="s">
        <v>2431</v>
      </c>
      <c r="G880" s="3" t="s">
        <v>2431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3" t="str">
        <f>VLOOKUP(A881,Meta.Features!$A:$K,$E$1,FALSE)</f>
        <v>Nominal</v>
      </c>
      <c r="F881" s="3" t="s">
        <v>2432</v>
      </c>
      <c r="G881" s="3" t="s">
        <v>2432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3" t="str">
        <f>VLOOKUP(A882,Meta.Features!$A:$K,$E$1,FALSE)</f>
        <v>Nominal</v>
      </c>
      <c r="F882" s="3" t="s">
        <v>2433</v>
      </c>
      <c r="G882" s="3" t="s">
        <v>2433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3" t="str">
        <f>VLOOKUP(A883,Meta.Features!$A:$K,$E$1,FALSE)</f>
        <v>Nominal</v>
      </c>
      <c r="F883" s="3" t="s">
        <v>2434</v>
      </c>
      <c r="G883" s="3" t="s">
        <v>2434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3" t="str">
        <f>VLOOKUP(A884,Meta.Features!$A:$K,$E$1,FALSE)</f>
        <v>Nominal</v>
      </c>
      <c r="F884" s="3" t="s">
        <v>2435</v>
      </c>
      <c r="G884" s="3" t="s">
        <v>2435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3" t="str">
        <f>VLOOKUP(A885,Meta.Features!$A:$K,$E$1,FALSE)</f>
        <v>Nominal</v>
      </c>
      <c r="F885" s="3" t="s">
        <v>2436</v>
      </c>
      <c r="G885" s="3" t="s">
        <v>2436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3" t="str">
        <f>VLOOKUP(A886,Meta.Features!$A:$K,$E$1,FALSE)</f>
        <v>Nominal</v>
      </c>
      <c r="F886" s="3" t="s">
        <v>2437</v>
      </c>
      <c r="G886" s="3" t="s">
        <v>2437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3" t="str">
        <f>VLOOKUP(A887,Meta.Features!$A:$K,$E$1,FALSE)</f>
        <v>Nominal</v>
      </c>
      <c r="F887" s="3" t="s">
        <v>2438</v>
      </c>
      <c r="G887" s="3" t="s">
        <v>2438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3" t="str">
        <f>VLOOKUP(A888,Meta.Features!$A:$K,$E$1,FALSE)</f>
        <v>Nominal</v>
      </c>
      <c r="F888" s="3" t="s">
        <v>2439</v>
      </c>
      <c r="G888" s="3" t="s">
        <v>2439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3" t="str">
        <f>VLOOKUP(A889,Meta.Features!$A:$K,$E$1,FALSE)</f>
        <v>Nominal</v>
      </c>
      <c r="F889" s="3" t="s">
        <v>2440</v>
      </c>
      <c r="G889" s="3" t="s">
        <v>2440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3" t="str">
        <f>VLOOKUP(A890,Meta.Features!$A:$K,$E$1,FALSE)</f>
        <v>Nominal</v>
      </c>
      <c r="F890" s="3" t="s">
        <v>2441</v>
      </c>
      <c r="G890" s="3" t="s">
        <v>2441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3" t="str">
        <f>VLOOKUP(A891,Meta.Features!$A:$K,$E$1,FALSE)</f>
        <v>Nominal</v>
      </c>
      <c r="F891" s="3" t="s">
        <v>2442</v>
      </c>
      <c r="G891" s="3" t="s">
        <v>2442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3" t="str">
        <f>VLOOKUP(A892,Meta.Features!$A:$K,$E$1,FALSE)</f>
        <v>Nominal</v>
      </c>
      <c r="F892" s="3" t="s">
        <v>2443</v>
      </c>
      <c r="G892" s="3" t="s">
        <v>2443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3" t="str">
        <f>VLOOKUP(A893,Meta.Features!$A:$K,$E$1,FALSE)</f>
        <v>Nominal</v>
      </c>
      <c r="F893" s="3" t="s">
        <v>2444</v>
      </c>
      <c r="G893" s="3" t="s">
        <v>2444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3" t="str">
        <f>VLOOKUP(A894,Meta.Features!$A:$K,$E$1,FALSE)</f>
        <v>Nominal</v>
      </c>
      <c r="F894" s="3" t="s">
        <v>2445</v>
      </c>
      <c r="G894" s="3" t="s">
        <v>2445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3" t="str">
        <f>VLOOKUP(A895,Meta.Features!$A:$K,$E$1,FALSE)</f>
        <v>Nominal</v>
      </c>
      <c r="F895" s="3" t="s">
        <v>2446</v>
      </c>
      <c r="G895" s="3" t="s">
        <v>2446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3" t="str">
        <f>VLOOKUP(A896,Meta.Features!$A:$K,$E$1,FALSE)</f>
        <v>Nominal</v>
      </c>
      <c r="F896" s="3" t="s">
        <v>2447</v>
      </c>
      <c r="G896" s="3" t="s">
        <v>2447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3" t="str">
        <f>VLOOKUP(A897,Meta.Features!$A:$K,$E$1,FALSE)</f>
        <v>Nominal</v>
      </c>
      <c r="F897" s="3" t="s">
        <v>2448</v>
      </c>
      <c r="G897" s="3" t="s">
        <v>2448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3" t="str">
        <f>VLOOKUP(A898,Meta.Features!$A:$K,$E$1,FALSE)</f>
        <v>Nominal</v>
      </c>
      <c r="F898" s="3" t="s">
        <v>2449</v>
      </c>
      <c r="G898" s="3" t="s">
        <v>2449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3" t="str">
        <f>VLOOKUP(A899,Meta.Features!$A:$K,$E$1,FALSE)</f>
        <v>Nominal</v>
      </c>
      <c r="F899" s="3" t="s">
        <v>2450</v>
      </c>
      <c r="G899" s="3" t="s">
        <v>2450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3" t="str">
        <f>VLOOKUP(A900,Meta.Features!$A:$K,$E$1,FALSE)</f>
        <v>Nominal</v>
      </c>
      <c r="F900" s="45" t="s">
        <v>1964</v>
      </c>
      <c r="G900" s="45" t="s">
        <v>1964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3" t="str">
        <f>VLOOKUP(A901,Meta.Features!$A:$K,$E$1,FALSE)</f>
        <v>Nominal</v>
      </c>
      <c r="F901" s="45" t="s">
        <v>2055</v>
      </c>
      <c r="G901" s="45" t="s">
        <v>2055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3" t="str">
        <f>VLOOKUP(A902,Meta.Features!$A:$K,$E$1,FALSE)</f>
        <v>Nominal</v>
      </c>
      <c r="F902" s="45" t="s">
        <v>1740</v>
      </c>
      <c r="G902" s="45" t="s">
        <v>1740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3" t="str">
        <f>VLOOKUP(A903,Meta.Features!$A:$K,$E$1,FALSE)</f>
        <v>Nominal</v>
      </c>
      <c r="F903" s="45" t="s">
        <v>2054</v>
      </c>
      <c r="G903" s="45" t="s">
        <v>2054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3" t="str">
        <f>VLOOKUP(A904,Meta.Features!$A:$K,$E$1,FALSE)</f>
        <v>Nominal</v>
      </c>
      <c r="F904" s="45" t="s">
        <v>1966</v>
      </c>
      <c r="G904" s="45" t="s">
        <v>1966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3" t="str">
        <f>VLOOKUP(A905,Meta.Features!$A:$K,$E$1,FALSE)</f>
        <v>Nominal</v>
      </c>
      <c r="F905" s="45" t="s">
        <v>1968</v>
      </c>
      <c r="G905" s="45" t="s">
        <v>1968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3" t="str">
        <f>VLOOKUP(A906,Meta.Features!$A:$K,$E$1,FALSE)</f>
        <v>Nominal</v>
      </c>
      <c r="F906" s="45" t="s">
        <v>1757</v>
      </c>
      <c r="G906" s="45" t="s">
        <v>1757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3" t="str">
        <f>VLOOKUP(A907,Meta.Features!$A:$K,$E$1,FALSE)</f>
        <v>Nominal</v>
      </c>
      <c r="F907" s="45" t="s">
        <v>1697</v>
      </c>
      <c r="G907" s="45" t="s">
        <v>1697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3" t="str">
        <f>VLOOKUP(A908,Meta.Features!$A:$K,$E$1,FALSE)</f>
        <v>Nominal</v>
      </c>
      <c r="F908" s="45" t="s">
        <v>1931</v>
      </c>
      <c r="G908" s="45" t="s">
        <v>1931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3" t="str">
        <f>VLOOKUP(A909,Meta.Features!$A:$K,$E$1,FALSE)</f>
        <v>Nominal</v>
      </c>
      <c r="F909" s="45" t="s">
        <v>2064</v>
      </c>
      <c r="G909" s="45" t="s">
        <v>2064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3" t="str">
        <f>VLOOKUP(A910,Meta.Features!$A:$K,$E$1,FALSE)</f>
        <v>Nominal</v>
      </c>
      <c r="F910" s="45" t="s">
        <v>1717</v>
      </c>
      <c r="G910" s="45" t="s">
        <v>1717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3" t="str">
        <f>VLOOKUP(A911,Meta.Features!$A:$K,$E$1,FALSE)</f>
        <v>Nominal</v>
      </c>
      <c r="F911" s="45" t="s">
        <v>2063</v>
      </c>
      <c r="G911" s="45" t="s">
        <v>2063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3" t="str">
        <f>VLOOKUP(A912,Meta.Features!$A:$K,$E$1,FALSE)</f>
        <v>Nominal</v>
      </c>
      <c r="F912" s="45" t="s">
        <v>1917</v>
      </c>
      <c r="G912" s="45" t="s">
        <v>1917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3" t="str">
        <f>VLOOKUP(A913,Meta.Features!$A:$K,$E$1,FALSE)</f>
        <v>Nominal</v>
      </c>
      <c r="F913" s="45" t="s">
        <v>1991</v>
      </c>
      <c r="G913" s="45" t="s">
        <v>1991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3" t="str">
        <f>VLOOKUP(A914,Meta.Features!$A:$K,$E$1,FALSE)</f>
        <v>Nominal</v>
      </c>
      <c r="F914" s="45" t="s">
        <v>2000</v>
      </c>
      <c r="G914" s="45" t="s">
        <v>2000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3" t="str">
        <f>VLOOKUP(A915,Meta.Features!$A:$K,$E$1,FALSE)</f>
        <v>Nominal</v>
      </c>
      <c r="F915" s="45" t="s">
        <v>1731</v>
      </c>
      <c r="G915" s="45" t="s">
        <v>1731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3" t="str">
        <f>VLOOKUP(A916,Meta.Features!$A:$K,$E$1,FALSE)</f>
        <v>Nominal</v>
      </c>
      <c r="F916" s="45" t="s">
        <v>2052</v>
      </c>
      <c r="G916" s="45" t="s">
        <v>2052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3" t="str">
        <f>VLOOKUP(A917,Meta.Features!$A:$K,$E$1,FALSE)</f>
        <v>Nominal</v>
      </c>
      <c r="F917" s="45" t="s">
        <v>2112</v>
      </c>
      <c r="G917" s="45" t="s">
        <v>2112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3" t="str">
        <f>VLOOKUP(A918,Meta.Features!$A:$K,$E$1,FALSE)</f>
        <v>Nominal</v>
      </c>
      <c r="F918" s="45" t="s">
        <v>1867</v>
      </c>
      <c r="G918" s="45" t="s">
        <v>1867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3" t="str">
        <f>VLOOKUP(A919,Meta.Features!$A:$K,$E$1,FALSE)</f>
        <v>Nominal</v>
      </c>
      <c r="F919" s="45" t="s">
        <v>1896</v>
      </c>
      <c r="G919" s="45" t="s">
        <v>1896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3" t="str">
        <f>VLOOKUP(A920,Meta.Features!$A:$K,$E$1,FALSE)</f>
        <v>Nominal</v>
      </c>
      <c r="F920" s="45" t="s">
        <v>1763</v>
      </c>
      <c r="G920" s="45" t="s">
        <v>1763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3" t="str">
        <f>VLOOKUP(A921,Meta.Features!$A:$K,$E$1,FALSE)</f>
        <v>Nominal</v>
      </c>
      <c r="F921" s="45" t="s">
        <v>1899</v>
      </c>
      <c r="G921" s="45" t="s">
        <v>1899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3" t="str">
        <f>VLOOKUP(A922,Meta.Features!$A:$K,$E$1,FALSE)</f>
        <v>Nominal</v>
      </c>
      <c r="F922" s="45" t="s">
        <v>1957</v>
      </c>
      <c r="G922" s="45" t="s">
        <v>1957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3" t="str">
        <f>VLOOKUP(A923,Meta.Features!$A:$K,$E$1,FALSE)</f>
        <v>Nominal</v>
      </c>
      <c r="F923" s="45" t="s">
        <v>1861</v>
      </c>
      <c r="G923" s="45" t="s">
        <v>1861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3" t="str">
        <f>VLOOKUP(A924,Meta.Features!$A:$K,$E$1,FALSE)</f>
        <v>Nominal</v>
      </c>
      <c r="F924" s="45" t="s">
        <v>1840</v>
      </c>
      <c r="G924" s="45" t="s">
        <v>1840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3" t="str">
        <f>VLOOKUP(A925,Meta.Features!$A:$K,$E$1,FALSE)</f>
        <v>Nominal</v>
      </c>
      <c r="F925" s="45" t="s">
        <v>1703</v>
      </c>
      <c r="G925" s="45" t="s">
        <v>1703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3" t="str">
        <f>VLOOKUP(A926,Meta.Features!$A:$K,$E$1,FALSE)</f>
        <v>Nominal</v>
      </c>
      <c r="F926" s="45" t="s">
        <v>1897</v>
      </c>
      <c r="G926" s="45" t="s">
        <v>1897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3" t="str">
        <f>VLOOKUP(A927,Meta.Features!$A:$K,$E$1,FALSE)</f>
        <v>Nominal</v>
      </c>
      <c r="F927" s="45" t="s">
        <v>1913</v>
      </c>
      <c r="G927" s="45" t="s">
        <v>1913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3" t="str">
        <f>VLOOKUP(A928,Meta.Features!$A:$K,$E$1,FALSE)</f>
        <v>Nominal</v>
      </c>
      <c r="F928" s="45" t="s">
        <v>2070</v>
      </c>
      <c r="G928" s="45" t="s">
        <v>2070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3" t="str">
        <f>VLOOKUP(A929,Meta.Features!$A:$K,$E$1,FALSE)</f>
        <v>Nominal</v>
      </c>
      <c r="F929" s="45" t="s">
        <v>1959</v>
      </c>
      <c r="G929" s="45" t="s">
        <v>1959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3" t="str">
        <f>VLOOKUP(A930,Meta.Features!$A:$K,$E$1,FALSE)</f>
        <v>Nominal</v>
      </c>
      <c r="F930" s="45" t="s">
        <v>1973</v>
      </c>
      <c r="G930" s="45" t="s">
        <v>1973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3" t="str">
        <f>VLOOKUP(A931,Meta.Features!$A:$K,$E$1,FALSE)</f>
        <v>Nominal</v>
      </c>
      <c r="F931" s="45" t="s">
        <v>2007</v>
      </c>
      <c r="G931" s="45" t="s">
        <v>2007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3" t="str">
        <f>VLOOKUP(A932,Meta.Features!$A:$K,$E$1,FALSE)</f>
        <v>Nominal</v>
      </c>
      <c r="F932" s="45" t="s">
        <v>2039</v>
      </c>
      <c r="G932" s="45" t="s">
        <v>2039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3" t="str">
        <f>VLOOKUP(A933,Meta.Features!$A:$K,$E$1,FALSE)</f>
        <v>Nominal</v>
      </c>
      <c r="F933" s="45" t="s">
        <v>2017</v>
      </c>
      <c r="G933" s="45" t="s">
        <v>2017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3" t="str">
        <f>VLOOKUP(A934,Meta.Features!$A:$K,$E$1,FALSE)</f>
        <v>Nominal</v>
      </c>
      <c r="F934" s="45" t="s">
        <v>1691</v>
      </c>
      <c r="G934" s="45" t="s">
        <v>1691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3" t="str">
        <f>VLOOKUP(A935,Meta.Features!$A:$K,$E$1,FALSE)</f>
        <v>Nominal</v>
      </c>
      <c r="F935" s="45" t="s">
        <v>2047</v>
      </c>
      <c r="G935" s="45" t="s">
        <v>2047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3" t="str">
        <f>VLOOKUP(A936,Meta.Features!$A:$K,$E$1,FALSE)</f>
        <v>Nominal</v>
      </c>
      <c r="F936" s="45" t="s">
        <v>2117</v>
      </c>
      <c r="G936" s="45" t="s">
        <v>2117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3" t="str">
        <f>VLOOKUP(A937,Meta.Features!$A:$K,$E$1,FALSE)</f>
        <v>Nominal</v>
      </c>
      <c r="F937" s="45" t="s">
        <v>2049</v>
      </c>
      <c r="G937" s="45" t="s">
        <v>2049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3" t="str">
        <f>VLOOKUP(A938,Meta.Features!$A:$K,$E$1,FALSE)</f>
        <v>Nominal</v>
      </c>
      <c r="F938" s="45" t="s">
        <v>2050</v>
      </c>
      <c r="G938" s="45" t="s">
        <v>2050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3" t="str">
        <f>VLOOKUP(A939,Meta.Features!$A:$K,$E$1,FALSE)</f>
        <v>Nominal</v>
      </c>
      <c r="F939" s="45" t="s">
        <v>1955</v>
      </c>
      <c r="G939" s="45" t="s">
        <v>1955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3" t="str">
        <f>VLOOKUP(A940,Meta.Features!$A:$K,$E$1,FALSE)</f>
        <v>Nominal</v>
      </c>
      <c r="F940" s="45" t="s">
        <v>2057</v>
      </c>
      <c r="G940" s="45" t="s">
        <v>2057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3" t="str">
        <f>VLOOKUP(A941,Meta.Features!$A:$K,$E$1,FALSE)</f>
        <v>Nominal</v>
      </c>
      <c r="F941" s="45" t="s">
        <v>1910</v>
      </c>
      <c r="G941" s="45" t="s">
        <v>1910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3" t="str">
        <f>VLOOKUP(A942,Meta.Features!$A:$K,$E$1,FALSE)</f>
        <v>Nominal</v>
      </c>
      <c r="F942" s="45" t="s">
        <v>1714</v>
      </c>
      <c r="G942" s="45" t="s">
        <v>1714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3" t="str">
        <f>VLOOKUP(A943,Meta.Features!$A:$K,$E$1,FALSE)</f>
        <v>Nominal</v>
      </c>
      <c r="F943" s="45" t="s">
        <v>1898</v>
      </c>
      <c r="G943" s="45" t="s">
        <v>1898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3" t="str">
        <f>VLOOKUP(A944,Meta.Features!$A:$K,$E$1,FALSE)</f>
        <v>Nominal</v>
      </c>
      <c r="F944" s="45" t="s">
        <v>1813</v>
      </c>
      <c r="G944" s="45" t="s">
        <v>1813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3" t="str">
        <f>VLOOKUP(A945,Meta.Features!$A:$K,$E$1,FALSE)</f>
        <v>Nominal</v>
      </c>
      <c r="F945" s="45" t="s">
        <v>1725</v>
      </c>
      <c r="G945" s="45" t="s">
        <v>1725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3" t="str">
        <f>VLOOKUP(A946,Meta.Features!$A:$K,$E$1,FALSE)</f>
        <v>Nominal</v>
      </c>
      <c r="F946" s="45" t="s">
        <v>2125</v>
      </c>
      <c r="G946" s="45" t="s">
        <v>2125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3" t="str">
        <f>VLOOKUP(A947,Meta.Features!$A:$K,$E$1,FALSE)</f>
        <v>Nominal</v>
      </c>
      <c r="F947" s="45" t="s">
        <v>1786</v>
      </c>
      <c r="G947" s="45" t="s">
        <v>1786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3" t="str">
        <f>VLOOKUP(A948,Meta.Features!$A:$K,$E$1,FALSE)</f>
        <v>Nominal</v>
      </c>
      <c r="F948" s="45" t="s">
        <v>1812</v>
      </c>
      <c r="G948" s="45" t="s">
        <v>1812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3" t="str">
        <f>VLOOKUP(A949,Meta.Features!$A:$K,$E$1,FALSE)</f>
        <v>Nominal</v>
      </c>
      <c r="F949" s="45" t="s">
        <v>1889</v>
      </c>
      <c r="G949" s="45" t="s">
        <v>1889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3" t="str">
        <f>VLOOKUP(A950,Meta.Features!$A:$K,$E$1,FALSE)</f>
        <v>Nominal</v>
      </c>
      <c r="F950" s="45" t="s">
        <v>1752</v>
      </c>
      <c r="G950" s="45" t="s">
        <v>1752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3" t="str">
        <f>VLOOKUP(A951,Meta.Features!$A:$K,$E$1,FALSE)</f>
        <v>Nominal</v>
      </c>
      <c r="F951" s="45" t="s">
        <v>1662</v>
      </c>
      <c r="G951" s="45" t="s">
        <v>1662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3" t="str">
        <f>VLOOKUP(A952,Meta.Features!$A:$K,$E$1,FALSE)</f>
        <v>Nominal</v>
      </c>
      <c r="F952" s="45" t="s">
        <v>2129</v>
      </c>
      <c r="G952" s="45" t="s">
        <v>2129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3" t="str">
        <f>VLOOKUP(A953,Meta.Features!$A:$K,$E$1,FALSE)</f>
        <v>Nominal</v>
      </c>
      <c r="F953" s="45" t="s">
        <v>2006</v>
      </c>
      <c r="G953" s="45" t="s">
        <v>2006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3" t="str">
        <f>VLOOKUP(A954,Meta.Features!$A:$K,$E$1,FALSE)</f>
        <v>Nominal</v>
      </c>
      <c r="F954" s="45" t="s">
        <v>2003</v>
      </c>
      <c r="G954" s="45" t="s">
        <v>2003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3" t="str">
        <f>VLOOKUP(A955,Meta.Features!$A:$K,$E$1,FALSE)</f>
        <v>Nominal</v>
      </c>
      <c r="F955" s="45" t="s">
        <v>1976</v>
      </c>
      <c r="G955" s="45" t="s">
        <v>1976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3" t="str">
        <f>VLOOKUP(A956,Meta.Features!$A:$K,$E$1,FALSE)</f>
        <v>Nominal</v>
      </c>
      <c r="F956" s="45" t="s">
        <v>2100</v>
      </c>
      <c r="G956" s="45" t="s">
        <v>2100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3" t="str">
        <f>VLOOKUP(A957,Meta.Features!$A:$K,$E$1,FALSE)</f>
        <v>Nominal</v>
      </c>
      <c r="F957" s="45" t="s">
        <v>2069</v>
      </c>
      <c r="G957" s="45" t="s">
        <v>2069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3" t="str">
        <f>VLOOKUP(A958,Meta.Features!$A:$K,$E$1,FALSE)</f>
        <v>Nominal</v>
      </c>
      <c r="F958" s="45" t="s">
        <v>2023</v>
      </c>
      <c r="G958" s="45" t="s">
        <v>2023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3" t="str">
        <f>VLOOKUP(A959,Meta.Features!$A:$K,$E$1,FALSE)</f>
        <v>Nominal</v>
      </c>
      <c r="F959" s="45" t="s">
        <v>2113</v>
      </c>
      <c r="G959" s="45" t="s">
        <v>2113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3" t="str">
        <f>VLOOKUP(A960,Meta.Features!$A:$K,$E$1,FALSE)</f>
        <v>Nominal</v>
      </c>
      <c r="F960" s="45" t="s">
        <v>1837</v>
      </c>
      <c r="G960" s="45" t="s">
        <v>1837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3" t="str">
        <f>VLOOKUP(A961,Meta.Features!$A:$K,$E$1,FALSE)</f>
        <v>Nominal</v>
      </c>
      <c r="F961" s="45" t="s">
        <v>2056</v>
      </c>
      <c r="G961" s="45" t="s">
        <v>2056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3" t="str">
        <f>VLOOKUP(A962,Meta.Features!$A:$K,$E$1,FALSE)</f>
        <v>Nominal</v>
      </c>
      <c r="F962" s="45" t="s">
        <v>2110</v>
      </c>
      <c r="G962" s="45" t="s">
        <v>2110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3" t="str">
        <f>VLOOKUP(A963,Meta.Features!$A:$K,$E$1,FALSE)</f>
        <v>Nominal</v>
      </c>
      <c r="F963" s="45" t="s">
        <v>1875</v>
      </c>
      <c r="G963" s="45" t="s">
        <v>1875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3" t="str">
        <f>VLOOKUP(A964,Meta.Features!$A:$K,$E$1,FALSE)</f>
        <v>Nominal</v>
      </c>
      <c r="F964" s="45" t="s">
        <v>1688</v>
      </c>
      <c r="G964" s="45" t="s">
        <v>1688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3" t="str">
        <f>VLOOKUP(A965,Meta.Features!$A:$K,$E$1,FALSE)</f>
        <v>Nominal</v>
      </c>
      <c r="F965" s="45" t="s">
        <v>2059</v>
      </c>
      <c r="G965" s="45" t="s">
        <v>2059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3" t="str">
        <f>VLOOKUP(A966,Meta.Features!$A:$K,$E$1,FALSE)</f>
        <v>Nominal</v>
      </c>
      <c r="F966" s="45" t="s">
        <v>1929</v>
      </c>
      <c r="G966" s="45" t="s">
        <v>1929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3" t="str">
        <f>VLOOKUP(A967,Meta.Features!$A:$K,$E$1,FALSE)</f>
        <v>Nominal</v>
      </c>
      <c r="F967" s="45" t="s">
        <v>1625</v>
      </c>
      <c r="G967" s="45" t="s">
        <v>1625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3" t="str">
        <f>VLOOKUP(A968,Meta.Features!$A:$K,$E$1,FALSE)</f>
        <v>Nominal</v>
      </c>
      <c r="F968" s="45" t="s">
        <v>1833</v>
      </c>
      <c r="G968" s="45" t="s">
        <v>1833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3" t="str">
        <f>VLOOKUP(A969,Meta.Features!$A:$K,$E$1,FALSE)</f>
        <v>Nominal</v>
      </c>
      <c r="F969" s="45" t="s">
        <v>1821</v>
      </c>
      <c r="G969" s="45" t="s">
        <v>1821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3" t="str">
        <f>VLOOKUP(A970,Meta.Features!$A:$K,$E$1,FALSE)</f>
        <v>Nominal</v>
      </c>
      <c r="F970" s="45" t="s">
        <v>1868</v>
      </c>
      <c r="G970" s="45" t="s">
        <v>1868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3" t="str">
        <f>VLOOKUP(A971,Meta.Features!$A:$K,$E$1,FALSE)</f>
        <v>Nominal</v>
      </c>
      <c r="F971" s="45" t="s">
        <v>1953</v>
      </c>
      <c r="G971" s="45" t="s">
        <v>1953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3" t="str">
        <f>VLOOKUP(A972,Meta.Features!$A:$K,$E$1,FALSE)</f>
        <v>Nominal</v>
      </c>
      <c r="F972" s="45" t="s">
        <v>2087</v>
      </c>
      <c r="G972" s="45" t="s">
        <v>2087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3" t="str">
        <f>VLOOKUP(A973,Meta.Features!$A:$K,$E$1,FALSE)</f>
        <v>Nominal</v>
      </c>
      <c r="F973" s="45" t="s">
        <v>1736</v>
      </c>
      <c r="G973" s="45" t="s">
        <v>1736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3" t="str">
        <f>VLOOKUP(A974,Meta.Features!$A:$K,$E$1,FALSE)</f>
        <v>Nominal</v>
      </c>
      <c r="F974" s="45" t="s">
        <v>1705</v>
      </c>
      <c r="G974" s="45" t="s">
        <v>1705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3" t="str">
        <f>VLOOKUP(A975,Meta.Features!$A:$K,$E$1,FALSE)</f>
        <v>Nominal</v>
      </c>
      <c r="F975" s="45" t="s">
        <v>1829</v>
      </c>
      <c r="G975" s="45" t="s">
        <v>1829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3" t="str">
        <f>VLOOKUP(A976,Meta.Features!$A:$K,$E$1,FALSE)</f>
        <v>Nominal</v>
      </c>
      <c r="F976" s="45" t="s">
        <v>1869</v>
      </c>
      <c r="G976" s="45" t="s">
        <v>1869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3" t="str">
        <f>VLOOKUP(A977,Meta.Features!$A:$K,$E$1,FALSE)</f>
        <v>Nominal</v>
      </c>
      <c r="F977" s="45" t="s">
        <v>1712</v>
      </c>
      <c r="G977" s="45" t="s">
        <v>1712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3" t="str">
        <f>VLOOKUP(A978,Meta.Features!$A:$K,$E$1,FALSE)</f>
        <v>Nominal</v>
      </c>
      <c r="F978" s="45" t="s">
        <v>1827</v>
      </c>
      <c r="G978" s="45" t="s">
        <v>1827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3" t="str">
        <f>VLOOKUP(A979,Meta.Features!$A:$K,$E$1,FALSE)</f>
        <v>Nominal</v>
      </c>
      <c r="F979" s="45" t="s">
        <v>1892</v>
      </c>
      <c r="G979" s="45" t="s">
        <v>1892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3" t="str">
        <f>VLOOKUP(A980,Meta.Features!$A:$K,$E$1,FALSE)</f>
        <v>Nominal</v>
      </c>
      <c r="F980" s="45" t="s">
        <v>2075</v>
      </c>
      <c r="G980" s="45" t="s">
        <v>2075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3" t="str">
        <f>VLOOKUP(A981,Meta.Features!$A:$K,$E$1,FALSE)</f>
        <v>Nominal</v>
      </c>
      <c r="F981" s="45" t="s">
        <v>1732</v>
      </c>
      <c r="G981" s="45" t="s">
        <v>1732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3" t="str">
        <f>VLOOKUP(A982,Meta.Features!$A:$K,$E$1,FALSE)</f>
        <v>Nominal</v>
      </c>
      <c r="F982" s="45" t="s">
        <v>2078</v>
      </c>
      <c r="G982" s="45" t="s">
        <v>2078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3" t="str">
        <f>VLOOKUP(A983,Meta.Features!$A:$K,$E$1,FALSE)</f>
        <v>Nominal</v>
      </c>
      <c r="F983" s="45" t="s">
        <v>1941</v>
      </c>
      <c r="G983" s="45" t="s">
        <v>1941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3" t="str">
        <f>VLOOKUP(A984,Meta.Features!$A:$K,$E$1,FALSE)</f>
        <v>Nominal</v>
      </c>
      <c r="F984" s="45" t="s">
        <v>1627</v>
      </c>
      <c r="G984" s="45" t="s">
        <v>1627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3" t="str">
        <f>VLOOKUP(A985,Meta.Features!$A:$K,$E$1,FALSE)</f>
        <v>Nominal</v>
      </c>
      <c r="F985" s="45" t="s">
        <v>1683</v>
      </c>
      <c r="G985" s="45" t="s">
        <v>1683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3" t="str">
        <f>VLOOKUP(A986,Meta.Features!$A:$K,$E$1,FALSE)</f>
        <v>Nominal</v>
      </c>
      <c r="F986" s="45" t="s">
        <v>1776</v>
      </c>
      <c r="G986" s="45" t="s">
        <v>1776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3" t="str">
        <f>VLOOKUP(A987,Meta.Features!$A:$K,$E$1,FALSE)</f>
        <v>Nominal</v>
      </c>
      <c r="F987" s="45" t="s">
        <v>2074</v>
      </c>
      <c r="G987" s="45" t="s">
        <v>2074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3" t="str">
        <f>VLOOKUP(A988,Meta.Features!$A:$K,$E$1,FALSE)</f>
        <v>Nominal</v>
      </c>
      <c r="F988" s="45" t="s">
        <v>1661</v>
      </c>
      <c r="G988" s="45" t="s">
        <v>1661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3" t="str">
        <f>VLOOKUP(A989,Meta.Features!$A:$K,$E$1,FALSE)</f>
        <v>Nominal</v>
      </c>
      <c r="F989" s="45" t="s">
        <v>1785</v>
      </c>
      <c r="G989" s="45" t="s">
        <v>1785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3" t="str">
        <f>VLOOKUP(A990,Meta.Features!$A:$K,$E$1,FALSE)</f>
        <v>Nominal</v>
      </c>
      <c r="F990" s="45" t="s">
        <v>1854</v>
      </c>
      <c r="G990" s="45" t="s">
        <v>1854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3" t="str">
        <f>VLOOKUP(A991,Meta.Features!$A:$K,$E$1,FALSE)</f>
        <v>Nominal</v>
      </c>
      <c r="F991" s="45" t="s">
        <v>1632</v>
      </c>
      <c r="G991" s="45" t="s">
        <v>1632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3" t="str">
        <f>VLOOKUP(A992,Meta.Features!$A:$K,$E$1,FALSE)</f>
        <v>Nominal</v>
      </c>
      <c r="F992" s="45" t="s">
        <v>1870</v>
      </c>
      <c r="G992" s="45" t="s">
        <v>1870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3" t="str">
        <f>VLOOKUP(A993,Meta.Features!$A:$K,$E$1,FALSE)</f>
        <v>Nominal</v>
      </c>
      <c r="F993" s="45" t="s">
        <v>1659</v>
      </c>
      <c r="G993" s="45" t="s">
        <v>1659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3" t="str">
        <f>VLOOKUP(A994,Meta.Features!$A:$K,$E$1,FALSE)</f>
        <v>Nominal</v>
      </c>
      <c r="F994" s="45" t="s">
        <v>1633</v>
      </c>
      <c r="G994" s="45" t="s">
        <v>1633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3" t="str">
        <f>VLOOKUP(A995,Meta.Features!$A:$K,$E$1,FALSE)</f>
        <v>Nominal</v>
      </c>
      <c r="F995" s="45" t="s">
        <v>1825</v>
      </c>
      <c r="G995" s="45" t="s">
        <v>1825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3" t="str">
        <f>VLOOKUP(A996,Meta.Features!$A:$K,$E$1,FALSE)</f>
        <v>Nominal</v>
      </c>
      <c r="F996" s="45" t="s">
        <v>1753</v>
      </c>
      <c r="G996" s="45" t="s">
        <v>1753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3" t="str">
        <f>VLOOKUP(A997,Meta.Features!$A:$K,$E$1,FALSE)</f>
        <v>Nominal</v>
      </c>
      <c r="F997" s="45" t="s">
        <v>1912</v>
      </c>
      <c r="G997" s="45" t="s">
        <v>1912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3" t="str">
        <f>VLOOKUP(A998,Meta.Features!$A:$K,$E$1,FALSE)</f>
        <v>Nominal</v>
      </c>
      <c r="F998" s="45" t="s">
        <v>1814</v>
      </c>
      <c r="G998" s="45" t="s">
        <v>1814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3" t="str">
        <f>VLOOKUP(A999,Meta.Features!$A:$K,$E$1,FALSE)</f>
        <v>Nominal</v>
      </c>
      <c r="F999" s="45" t="s">
        <v>1993</v>
      </c>
      <c r="G999" s="45" t="s">
        <v>1993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3" t="str">
        <f>VLOOKUP(A1000,Meta.Features!$A:$K,$E$1,FALSE)</f>
        <v>Nominal</v>
      </c>
      <c r="F1000" s="45" t="s">
        <v>1730</v>
      </c>
      <c r="G1000" s="45" t="s">
        <v>1730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3" t="str">
        <f>VLOOKUP(A1001,Meta.Features!$A:$K,$E$1,FALSE)</f>
        <v>Nominal</v>
      </c>
      <c r="F1001" s="45" t="s">
        <v>2065</v>
      </c>
      <c r="G1001" s="45" t="s">
        <v>2065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3" t="str">
        <f>VLOOKUP(A1002,Meta.Features!$A:$K,$E$1,FALSE)</f>
        <v>Nominal</v>
      </c>
      <c r="F1002" s="45" t="s">
        <v>1806</v>
      </c>
      <c r="G1002" s="45" t="s">
        <v>1806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3" t="str">
        <f>VLOOKUP(A1003,Meta.Features!$A:$K,$E$1,FALSE)</f>
        <v>Nominal</v>
      </c>
      <c r="F1003" s="45" t="s">
        <v>1619</v>
      </c>
      <c r="G1003" s="45" t="s">
        <v>1619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3" t="str">
        <f>VLOOKUP(A1004,Meta.Features!$A:$K,$E$1,FALSE)</f>
        <v>Nominal</v>
      </c>
      <c r="F1004" s="45" t="s">
        <v>1621</v>
      </c>
      <c r="G1004" s="45" t="s">
        <v>1621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3" t="str">
        <f>VLOOKUP(A1005,Meta.Features!$A:$K,$E$1,FALSE)</f>
        <v>Nominal</v>
      </c>
      <c r="F1005" s="45" t="s">
        <v>1937</v>
      </c>
      <c r="G1005" s="45" t="s">
        <v>1937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3" t="str">
        <f>VLOOKUP(A1006,Meta.Features!$A:$K,$E$1,FALSE)</f>
        <v>Nominal</v>
      </c>
      <c r="F1006" s="45" t="s">
        <v>2092</v>
      </c>
      <c r="G1006" s="45" t="s">
        <v>2092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3" t="str">
        <f>VLOOKUP(A1007,Meta.Features!$A:$K,$E$1,FALSE)</f>
        <v>Nominal</v>
      </c>
      <c r="F1007" s="45" t="s">
        <v>1891</v>
      </c>
      <c r="G1007" s="45" t="s">
        <v>1891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3" t="str">
        <f>VLOOKUP(A1008,Meta.Features!$A:$K,$E$1,FALSE)</f>
        <v>Nominal</v>
      </c>
      <c r="F1008" s="45" t="s">
        <v>1853</v>
      </c>
      <c r="G1008" s="45" t="s">
        <v>1853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3" t="str">
        <f>VLOOKUP(A1009,Meta.Features!$A:$K,$E$1,FALSE)</f>
        <v>Nominal</v>
      </c>
      <c r="F1009" s="45" t="s">
        <v>1652</v>
      </c>
      <c r="G1009" s="45" t="s">
        <v>1652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3" t="str">
        <f>VLOOKUP(A1010,Meta.Features!$A:$K,$E$1,FALSE)</f>
        <v>Nominal</v>
      </c>
      <c r="F1010" s="45" t="s">
        <v>1654</v>
      </c>
      <c r="G1010" s="45" t="s">
        <v>1654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3" t="str">
        <f>VLOOKUP(A1011,Meta.Features!$A:$K,$E$1,FALSE)</f>
        <v>Nominal</v>
      </c>
      <c r="F1011" s="45" t="s">
        <v>1735</v>
      </c>
      <c r="G1011" s="45" t="s">
        <v>1735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3" t="str">
        <f>VLOOKUP(A1012,Meta.Features!$A:$K,$E$1,FALSE)</f>
        <v>Nominal</v>
      </c>
      <c r="F1012" s="45" t="s">
        <v>1762</v>
      </c>
      <c r="G1012" s="45" t="s">
        <v>1762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3" t="str">
        <f>VLOOKUP(A1013,Meta.Features!$A:$K,$E$1,FALSE)</f>
        <v>Nominal</v>
      </c>
      <c r="F1013" s="45" t="s">
        <v>2037</v>
      </c>
      <c r="G1013" s="45" t="s">
        <v>2037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3" t="str">
        <f>VLOOKUP(A1014,Meta.Features!$A:$K,$E$1,FALSE)</f>
        <v>Nominal</v>
      </c>
      <c r="F1014" s="45" t="s">
        <v>1729</v>
      </c>
      <c r="G1014" s="45" t="s">
        <v>1729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3" t="str">
        <f>VLOOKUP(A1015,Meta.Features!$A:$K,$E$1,FALSE)</f>
        <v>Nominal</v>
      </c>
      <c r="F1015" s="45" t="s">
        <v>1618</v>
      </c>
      <c r="G1015" s="45" t="s">
        <v>1618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3" t="str">
        <f>VLOOKUP(A1016,Meta.Features!$A:$K,$E$1,FALSE)</f>
        <v>Nominal</v>
      </c>
      <c r="F1016" s="45" t="s">
        <v>1656</v>
      </c>
      <c r="G1016" s="45" t="s">
        <v>1656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3" t="str">
        <f>VLOOKUP(A1017,Meta.Features!$A:$K,$E$1,FALSE)</f>
        <v>Nominal</v>
      </c>
      <c r="F1017" s="45" t="s">
        <v>1932</v>
      </c>
      <c r="G1017" s="45" t="s">
        <v>1932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3" t="str">
        <f>VLOOKUP(A1018,Meta.Features!$A:$K,$E$1,FALSE)</f>
        <v>Nominal</v>
      </c>
      <c r="F1018" s="45" t="s">
        <v>1727</v>
      </c>
      <c r="G1018" s="45" t="s">
        <v>1727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3" t="str">
        <f>VLOOKUP(A1019,Meta.Features!$A:$K,$E$1,FALSE)</f>
        <v>Nominal</v>
      </c>
      <c r="F1019" s="45" t="s">
        <v>1645</v>
      </c>
      <c r="G1019" s="45" t="s">
        <v>1645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3" t="str">
        <f>VLOOKUP(A1020,Meta.Features!$A:$K,$E$1,FALSE)</f>
        <v>Nominal</v>
      </c>
      <c r="F1020" s="45" t="s">
        <v>2068</v>
      </c>
      <c r="G1020" s="45" t="s">
        <v>2068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3" t="str">
        <f>VLOOKUP(A1021,Meta.Features!$A:$K,$E$1,FALSE)</f>
        <v>Nominal</v>
      </c>
      <c r="F1021" s="45" t="s">
        <v>1721</v>
      </c>
      <c r="G1021" s="45" t="s">
        <v>1721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3" t="str">
        <f>VLOOKUP(A1022,Meta.Features!$A:$K,$E$1,FALSE)</f>
        <v>Nominal</v>
      </c>
      <c r="F1022" s="45" t="s">
        <v>1693</v>
      </c>
      <c r="G1022" s="45" t="s">
        <v>1693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3" t="str">
        <f>VLOOKUP(A1023,Meta.Features!$A:$K,$E$1,FALSE)</f>
        <v>Nominal</v>
      </c>
      <c r="F1023" s="45" t="s">
        <v>1798</v>
      </c>
      <c r="G1023" s="45" t="s">
        <v>1798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3" t="str">
        <f>VLOOKUP(A1024,Meta.Features!$A:$K,$E$1,FALSE)</f>
        <v>Nominal</v>
      </c>
      <c r="F1024" s="45" t="s">
        <v>1956</v>
      </c>
      <c r="G1024" s="45" t="s">
        <v>1956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3" t="str">
        <f>VLOOKUP(A1025,Meta.Features!$A:$K,$E$1,FALSE)</f>
        <v>Nominal</v>
      </c>
      <c r="F1025" s="45" t="s">
        <v>2135</v>
      </c>
      <c r="G1025" s="45" t="s">
        <v>2135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3" t="str">
        <f>VLOOKUP(A1026,Meta.Features!$A:$K,$E$1,FALSE)</f>
        <v>Nominal</v>
      </c>
      <c r="F1026" s="45" t="s">
        <v>1710</v>
      </c>
      <c r="G1026" s="45" t="s">
        <v>1710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3" t="str">
        <f>VLOOKUP(A1027,Meta.Features!$A:$K,$E$1,FALSE)</f>
        <v>Nominal</v>
      </c>
      <c r="F1027" s="45" t="s">
        <v>2038</v>
      </c>
      <c r="G1027" s="45" t="s">
        <v>2038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3" t="str">
        <f>VLOOKUP(A1028,Meta.Features!$A:$K,$E$1,FALSE)</f>
        <v>Nominal</v>
      </c>
      <c r="F1028" s="45" t="s">
        <v>1695</v>
      </c>
      <c r="G1028" s="45" t="s">
        <v>1695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3" t="str">
        <f>VLOOKUP(A1029,Meta.Features!$A:$K,$E$1,FALSE)</f>
        <v>Nominal</v>
      </c>
      <c r="F1029" s="45" t="s">
        <v>1663</v>
      </c>
      <c r="G1029" s="45" t="s">
        <v>1663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3" t="str">
        <f>VLOOKUP(A1030,Meta.Features!$A:$K,$E$1,FALSE)</f>
        <v>Nominal</v>
      </c>
      <c r="F1030" s="45" t="s">
        <v>1667</v>
      </c>
      <c r="G1030" s="45" t="s">
        <v>1667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3" t="str">
        <f>VLOOKUP(A1031,Meta.Features!$A:$K,$E$1,FALSE)</f>
        <v>Nominal</v>
      </c>
      <c r="F1031" s="45" t="s">
        <v>1965</v>
      </c>
      <c r="G1031" s="45" t="s">
        <v>1965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3" t="str">
        <f>VLOOKUP(A1032,Meta.Features!$A:$K,$E$1,FALSE)</f>
        <v>Nominal</v>
      </c>
      <c r="F1032" s="45" t="s">
        <v>1679</v>
      </c>
      <c r="G1032" s="45" t="s">
        <v>1679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3" t="str">
        <f>VLOOKUP(A1033,Meta.Features!$A:$K,$E$1,FALSE)</f>
        <v>Nominal</v>
      </c>
      <c r="F1033" s="45" t="s">
        <v>1911</v>
      </c>
      <c r="G1033" s="45" t="s">
        <v>1911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3" t="str">
        <f>VLOOKUP(A1034,Meta.Features!$A:$K,$E$1,FALSE)</f>
        <v>Nominal</v>
      </c>
      <c r="F1034" s="45" t="s">
        <v>2105</v>
      </c>
      <c r="G1034" s="45" t="s">
        <v>2105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3" t="str">
        <f>VLOOKUP(A1035,Meta.Features!$A:$K,$E$1,FALSE)</f>
        <v>Nominal</v>
      </c>
      <c r="F1035" s="45" t="s">
        <v>2185</v>
      </c>
      <c r="G1035" s="45" t="s">
        <v>2185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3" t="str">
        <f>VLOOKUP(A1036,Meta.Features!$A:$K,$E$1,FALSE)</f>
        <v>Nominal</v>
      </c>
      <c r="F1036" s="45" t="s">
        <v>1933</v>
      </c>
      <c r="G1036" s="45" t="s">
        <v>1933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3" t="str">
        <f>VLOOKUP(A1037,Meta.Features!$A:$K,$E$1,FALSE)</f>
        <v>Nominal</v>
      </c>
      <c r="F1037" s="45" t="s">
        <v>2134</v>
      </c>
      <c r="G1037" s="45" t="s">
        <v>2134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3" t="str">
        <f>VLOOKUP(A1038,Meta.Features!$A:$K,$E$1,FALSE)</f>
        <v>Nominal</v>
      </c>
      <c r="F1038" s="45" t="s">
        <v>1828</v>
      </c>
      <c r="G1038" s="45" t="s">
        <v>1828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3" t="str">
        <f>VLOOKUP(A1039,Meta.Features!$A:$K,$E$1,FALSE)</f>
        <v>Nominal</v>
      </c>
      <c r="F1039" s="45" t="s">
        <v>2136</v>
      </c>
      <c r="G1039" s="45" t="s">
        <v>2136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3" t="str">
        <f>VLOOKUP(A1040,Meta.Features!$A:$K,$E$1,FALSE)</f>
        <v>Nominal</v>
      </c>
      <c r="F1040" s="45" t="s">
        <v>2120</v>
      </c>
      <c r="G1040" s="45" t="s">
        <v>2120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3" t="str">
        <f>VLOOKUP(A1041,Meta.Features!$A:$K,$E$1,FALSE)</f>
        <v>Nominal</v>
      </c>
      <c r="F1041" s="45" t="s">
        <v>1681</v>
      </c>
      <c r="G1041" s="45" t="s">
        <v>1681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3" t="str">
        <f>VLOOKUP(A1042,Meta.Features!$A:$K,$E$1,FALSE)</f>
        <v>Nominal</v>
      </c>
      <c r="F1042" s="45" t="s">
        <v>1815</v>
      </c>
      <c r="G1042" s="45" t="s">
        <v>1815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3" t="str">
        <f>VLOOKUP(A1043,Meta.Features!$A:$K,$E$1,FALSE)</f>
        <v>Nominal</v>
      </c>
      <c r="F1043" s="45" t="s">
        <v>1694</v>
      </c>
      <c r="G1043" s="45" t="s">
        <v>1694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3" t="str">
        <f>VLOOKUP(A1044,Meta.Features!$A:$K,$E$1,FALSE)</f>
        <v>Nominal</v>
      </c>
      <c r="F1044" s="45" t="s">
        <v>1811</v>
      </c>
      <c r="G1044" s="45" t="s">
        <v>1811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3" t="str">
        <f>VLOOKUP(A1045,Meta.Features!$A:$K,$E$1,FALSE)</f>
        <v>Nominal</v>
      </c>
      <c r="F1045" s="45" t="s">
        <v>1764</v>
      </c>
      <c r="G1045" s="45" t="s">
        <v>1764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3" t="str">
        <f>VLOOKUP(A1046,Meta.Features!$A:$K,$E$1,FALSE)</f>
        <v>Nominal</v>
      </c>
      <c r="F1046" s="45" t="s">
        <v>2010</v>
      </c>
      <c r="G1046" s="45" t="s">
        <v>2010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3" t="str">
        <f>VLOOKUP(A1047,Meta.Features!$A:$K,$E$1,FALSE)</f>
        <v>Nominal</v>
      </c>
      <c r="F1047" s="45" t="s">
        <v>2009</v>
      </c>
      <c r="G1047" s="45" t="s">
        <v>2009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3" t="str">
        <f>VLOOKUP(A1048,Meta.Features!$A:$K,$E$1,FALSE)</f>
        <v>Nominal</v>
      </c>
      <c r="F1048" s="45" t="s">
        <v>2016</v>
      </c>
      <c r="G1048" s="45" t="s">
        <v>2016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3" t="str">
        <f>VLOOKUP(A1049,Meta.Features!$A:$K,$E$1,FALSE)</f>
        <v>Nominal</v>
      </c>
      <c r="F1049" s="45" t="s">
        <v>2020</v>
      </c>
      <c r="G1049" s="45" t="s">
        <v>2020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3" t="str">
        <f>VLOOKUP(A1050,Meta.Features!$A:$K,$E$1,FALSE)</f>
        <v>Nominal</v>
      </c>
      <c r="F1050" s="45" t="s">
        <v>2015</v>
      </c>
      <c r="G1050" s="45" t="s">
        <v>2015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3" t="str">
        <f>VLOOKUP(A1051,Meta.Features!$A:$K,$E$1,FALSE)</f>
        <v>Nominal</v>
      </c>
      <c r="F1051" s="45" t="s">
        <v>2019</v>
      </c>
      <c r="G1051" s="45" t="s">
        <v>2019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3" t="str">
        <f>VLOOKUP(A1052,Meta.Features!$A:$K,$E$1,FALSE)</f>
        <v>Nominal</v>
      </c>
      <c r="F1052" s="45" t="s">
        <v>2014</v>
      </c>
      <c r="G1052" s="45" t="s">
        <v>2014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3" t="str">
        <f>VLOOKUP(A1053,Meta.Features!$A:$K,$E$1,FALSE)</f>
        <v>Nominal</v>
      </c>
      <c r="F1053" s="45" t="s">
        <v>2018</v>
      </c>
      <c r="G1053" s="45" t="s">
        <v>2018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3" t="str">
        <f>VLOOKUP(A1054,Meta.Features!$A:$K,$E$1,FALSE)</f>
        <v>Nominal</v>
      </c>
      <c r="F1054" s="45" t="s">
        <v>2121</v>
      </c>
      <c r="G1054" s="45" t="s">
        <v>2121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3" t="str">
        <f>VLOOKUP(A1055,Meta.Features!$A:$K,$E$1,FALSE)</f>
        <v>Nominal</v>
      </c>
      <c r="F1055" s="45" t="s">
        <v>1823</v>
      </c>
      <c r="G1055" s="45" t="s">
        <v>1823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3" t="str">
        <f>VLOOKUP(A1056,Meta.Features!$A:$K,$E$1,FALSE)</f>
        <v>Nominal</v>
      </c>
      <c r="F1056" s="45" t="s">
        <v>2108</v>
      </c>
      <c r="G1056" s="45" t="s">
        <v>2108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3" t="str">
        <f>VLOOKUP(A1057,Meta.Features!$A:$K,$E$1,FALSE)</f>
        <v>Nominal</v>
      </c>
      <c r="F1057" s="45" t="s">
        <v>1863</v>
      </c>
      <c r="G1057" s="45" t="s">
        <v>1863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3" t="str">
        <f>VLOOKUP(A1058,Meta.Features!$A:$K,$E$1,FALSE)</f>
        <v>Nominal</v>
      </c>
      <c r="F1058" s="45" t="s">
        <v>1979</v>
      </c>
      <c r="G1058" s="45" t="s">
        <v>1979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3" t="str">
        <f>VLOOKUP(A1059,Meta.Features!$A:$K,$E$1,FALSE)</f>
        <v>Nominal</v>
      </c>
      <c r="F1059" s="45" t="s">
        <v>2060</v>
      </c>
      <c r="G1059" s="45" t="s">
        <v>2060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3" t="str">
        <f>VLOOKUP(A1060,Meta.Features!$A:$K,$E$1,FALSE)</f>
        <v>Nominal</v>
      </c>
      <c r="F1060" s="45" t="s">
        <v>1950</v>
      </c>
      <c r="G1060" s="45" t="s">
        <v>1950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3" t="str">
        <f>VLOOKUP(A1061,Meta.Features!$A:$K,$E$1,FALSE)</f>
        <v>Nominal</v>
      </c>
      <c r="F1061" s="45" t="s">
        <v>2040</v>
      </c>
      <c r="G1061" s="45" t="s">
        <v>2040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3" t="str">
        <f>VLOOKUP(A1062,Meta.Features!$A:$K,$E$1,FALSE)</f>
        <v>Nominal</v>
      </c>
      <c r="F1062" s="45" t="s">
        <v>1830</v>
      </c>
      <c r="G1062" s="45" t="s">
        <v>1830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3" t="str">
        <f>VLOOKUP(A1063,Meta.Features!$A:$K,$E$1,FALSE)</f>
        <v>Nominal</v>
      </c>
      <c r="F1063" s="45" t="s">
        <v>2115</v>
      </c>
      <c r="G1063" s="45" t="s">
        <v>2115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3" t="str">
        <f>VLOOKUP(A1064,Meta.Features!$A:$K,$E$1,FALSE)</f>
        <v>Nominal</v>
      </c>
      <c r="F1064" s="45" t="s">
        <v>1977</v>
      </c>
      <c r="G1064" s="45" t="s">
        <v>1977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3" t="str">
        <f>VLOOKUP(A1065,Meta.Features!$A:$K,$E$1,FALSE)</f>
        <v>Nominal</v>
      </c>
      <c r="F1065" s="45" t="s">
        <v>1922</v>
      </c>
      <c r="G1065" s="45" t="s">
        <v>1922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3" t="str">
        <f>VLOOKUP(A1066,Meta.Features!$A:$K,$E$1,FALSE)</f>
        <v>Nominal</v>
      </c>
      <c r="F1066" s="45" t="s">
        <v>1728</v>
      </c>
      <c r="G1066" s="45" t="s">
        <v>1728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3" t="str">
        <f>VLOOKUP(A1067,Meta.Features!$A:$K,$E$1,FALSE)</f>
        <v>Nominal</v>
      </c>
      <c r="F1067" s="45" t="s">
        <v>1835</v>
      </c>
      <c r="G1067" s="45" t="s">
        <v>1835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3" t="str">
        <f>VLOOKUP(A1068,Meta.Features!$A:$K,$E$1,FALSE)</f>
        <v>Nominal</v>
      </c>
      <c r="F1068" s="45" t="s">
        <v>2002</v>
      </c>
      <c r="G1068" s="45" t="s">
        <v>2002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3" t="str">
        <f>VLOOKUP(A1069,Meta.Features!$A:$K,$E$1,FALSE)</f>
        <v>Nominal</v>
      </c>
      <c r="F1069" s="45" t="s">
        <v>2008</v>
      </c>
      <c r="G1069" s="45" t="s">
        <v>2008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3" t="str">
        <f>VLOOKUP(A1070,Meta.Features!$A:$K,$E$1,FALSE)</f>
        <v>Nominal</v>
      </c>
      <c r="F1070" s="45" t="s">
        <v>1876</v>
      </c>
      <c r="G1070" s="45" t="s">
        <v>1876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3" t="str">
        <f>VLOOKUP(A1071,Meta.Features!$A:$K,$E$1,FALSE)</f>
        <v>Nominal</v>
      </c>
      <c r="F1071" s="45" t="s">
        <v>1783</v>
      </c>
      <c r="G1071" s="45" t="s">
        <v>1783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3" t="str">
        <f>VLOOKUP(A1072,Meta.Features!$A:$K,$E$1,FALSE)</f>
        <v>Nominal</v>
      </c>
      <c r="F1072" s="45" t="s">
        <v>1954</v>
      </c>
      <c r="G1072" s="45" t="s">
        <v>1954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3" t="str">
        <f>VLOOKUP(A1073,Meta.Features!$A:$K,$E$1,FALSE)</f>
        <v>Nominal</v>
      </c>
      <c r="F1073" s="45" t="s">
        <v>1921</v>
      </c>
      <c r="G1073" s="45" t="s">
        <v>1921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3" t="str">
        <f>VLOOKUP(A1074,Meta.Features!$A:$K,$E$1,FALSE)</f>
        <v>Nominal</v>
      </c>
      <c r="F1074" s="45" t="s">
        <v>1696</v>
      </c>
      <c r="G1074" s="45" t="s">
        <v>1696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3" t="str">
        <f>VLOOKUP(A1075,Meta.Features!$A:$K,$E$1,FALSE)</f>
        <v>Nominal</v>
      </c>
      <c r="F1075" s="45" t="s">
        <v>1766</v>
      </c>
      <c r="G1075" s="45" t="s">
        <v>1766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3" t="str">
        <f>VLOOKUP(A1076,Meta.Features!$A:$K,$E$1,FALSE)</f>
        <v>Nominal</v>
      </c>
      <c r="F1076" s="45" t="s">
        <v>1916</v>
      </c>
      <c r="G1076" s="45" t="s">
        <v>1916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3" t="str">
        <f>VLOOKUP(A1077,Meta.Features!$A:$K,$E$1,FALSE)</f>
        <v>Nominal</v>
      </c>
      <c r="F1077" s="45" t="s">
        <v>1716</v>
      </c>
      <c r="G1077" s="45" t="s">
        <v>1716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3" t="str">
        <f>VLOOKUP(A1078,Meta.Features!$A:$K,$E$1,FALSE)</f>
        <v>Nominal</v>
      </c>
      <c r="F1078" s="45" t="s">
        <v>2005</v>
      </c>
      <c r="G1078" s="45" t="s">
        <v>2005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3" t="str">
        <f>VLOOKUP(A1079,Meta.Features!$A:$K,$E$1,FALSE)</f>
        <v>Nominal</v>
      </c>
      <c r="F1079" s="45" t="s">
        <v>1905</v>
      </c>
      <c r="G1079" s="45" t="s">
        <v>1905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3" t="str">
        <f>VLOOKUP(A1080,Meta.Features!$A:$K,$E$1,FALSE)</f>
        <v>Nominal</v>
      </c>
      <c r="F1080" s="45" t="s">
        <v>2061</v>
      </c>
      <c r="G1080" s="45" t="s">
        <v>2061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3" t="str">
        <f>VLOOKUP(A1081,Meta.Features!$A:$K,$E$1,FALSE)</f>
        <v>Nominal</v>
      </c>
      <c r="F1081" s="45" t="s">
        <v>1935</v>
      </c>
      <c r="G1081" s="45" t="s">
        <v>1935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3" t="str">
        <f>VLOOKUP(A1082,Meta.Features!$A:$K,$E$1,FALSE)</f>
        <v>Nominal</v>
      </c>
      <c r="F1082" s="45" t="s">
        <v>1687</v>
      </c>
      <c r="G1082" s="45" t="s">
        <v>1687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3" t="str">
        <f>VLOOKUP(A1083,Meta.Features!$A:$K,$E$1,FALSE)</f>
        <v>Nominal</v>
      </c>
      <c r="F1083" s="45" t="s">
        <v>1641</v>
      </c>
      <c r="G1083" s="45" t="s">
        <v>1641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3" t="str">
        <f>VLOOKUP(A1084,Meta.Features!$A:$K,$E$1,FALSE)</f>
        <v>Nominal</v>
      </c>
      <c r="F1084" s="45" t="s">
        <v>1677</v>
      </c>
      <c r="G1084" s="45" t="s">
        <v>1677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3" t="str">
        <f>VLOOKUP(A1085,Meta.Features!$A:$K,$E$1,FALSE)</f>
        <v>Nominal</v>
      </c>
      <c r="F1085" s="45" t="s">
        <v>1742</v>
      </c>
      <c r="G1085" s="45" t="s">
        <v>1742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3" t="str">
        <f>VLOOKUP(A1086,Meta.Features!$A:$K,$E$1,FALSE)</f>
        <v>Nominal</v>
      </c>
      <c r="F1086" s="45" t="s">
        <v>1742</v>
      </c>
      <c r="G1086" s="45" t="s">
        <v>1742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3" t="str">
        <f>VLOOKUP(A1087,Meta.Features!$A:$K,$E$1,FALSE)</f>
        <v>Nominal</v>
      </c>
      <c r="F1087" s="45" t="s">
        <v>1962</v>
      </c>
      <c r="G1087" s="45" t="s">
        <v>1962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3" t="str">
        <f>VLOOKUP(A1088,Meta.Features!$A:$K,$E$1,FALSE)</f>
        <v>Nominal</v>
      </c>
      <c r="F1088" s="45" t="s">
        <v>1749</v>
      </c>
      <c r="G1088" s="45" t="s">
        <v>1749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3" t="str">
        <f>VLOOKUP(A1089,Meta.Features!$A:$K,$E$1,FALSE)</f>
        <v>Nominal</v>
      </c>
      <c r="F1089" s="45" t="s">
        <v>2102</v>
      </c>
      <c r="G1089" s="45" t="s">
        <v>2102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3" t="str">
        <f>VLOOKUP(A1090,Meta.Features!$A:$K,$E$1,FALSE)</f>
        <v>Nominal</v>
      </c>
      <c r="F1090" s="45" t="s">
        <v>1969</v>
      </c>
      <c r="G1090" s="45" t="s">
        <v>1969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3" t="str">
        <f>VLOOKUP(A1091,Meta.Features!$A:$K,$E$1,FALSE)</f>
        <v>Nominal</v>
      </c>
      <c r="F1091" s="45" t="s">
        <v>2095</v>
      </c>
      <c r="G1091" s="45" t="s">
        <v>2095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3" t="str">
        <f>VLOOKUP(A1092,Meta.Features!$A:$K,$E$1,FALSE)</f>
        <v>Nominal</v>
      </c>
      <c r="F1092" s="45" t="s">
        <v>1664</v>
      </c>
      <c r="G1092" s="45" t="s">
        <v>1664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3" t="str">
        <f>VLOOKUP(A1093,Meta.Features!$A:$K,$E$1,FALSE)</f>
        <v>Nominal</v>
      </c>
      <c r="F1093" s="45" t="s">
        <v>1653</v>
      </c>
      <c r="G1093" s="45" t="s">
        <v>1653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3" t="str">
        <f>VLOOKUP(A1094,Meta.Features!$A:$K,$E$1,FALSE)</f>
        <v>Nominal</v>
      </c>
      <c r="F1094" s="45" t="s">
        <v>1657</v>
      </c>
      <c r="G1094" s="45" t="s">
        <v>1657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3" t="str">
        <f>VLOOKUP(A1095,Meta.Features!$A:$K,$E$1,FALSE)</f>
        <v>Nominal</v>
      </c>
      <c r="F1095" s="45" t="s">
        <v>1665</v>
      </c>
      <c r="G1095" s="45" t="s">
        <v>1665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3" t="str">
        <f>VLOOKUP(A1096,Meta.Features!$A:$K,$E$1,FALSE)</f>
        <v>Nominal</v>
      </c>
      <c r="F1096" s="45" t="s">
        <v>1951</v>
      </c>
      <c r="G1096" s="45" t="s">
        <v>1951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3" t="str">
        <f>VLOOKUP(A1097,Meta.Features!$A:$K,$E$1,FALSE)</f>
        <v>Nominal</v>
      </c>
      <c r="F1097" s="45" t="s">
        <v>1958</v>
      </c>
      <c r="G1097" s="45" t="s">
        <v>1958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3" t="str">
        <f>VLOOKUP(A1098,Meta.Features!$A:$K,$E$1,FALSE)</f>
        <v>Nominal</v>
      </c>
      <c r="F1098" s="45" t="s">
        <v>1936</v>
      </c>
      <c r="G1098" s="45" t="s">
        <v>1936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3" t="str">
        <f>VLOOKUP(A1099,Meta.Features!$A:$K,$E$1,FALSE)</f>
        <v>Nominal</v>
      </c>
      <c r="F1099" s="45" t="s">
        <v>1637</v>
      </c>
      <c r="G1099" s="45" t="s">
        <v>1637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3" t="str">
        <f>VLOOKUP(A1100,Meta.Features!$A:$K,$E$1,FALSE)</f>
        <v>Nominal</v>
      </c>
      <c r="F1100" s="45" t="s">
        <v>1755</v>
      </c>
      <c r="G1100" s="45" t="s">
        <v>1755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3" t="str">
        <f>VLOOKUP(A1101,Meta.Features!$A:$K,$E$1,FALSE)</f>
        <v>Nominal</v>
      </c>
      <c r="F1101" s="45" t="s">
        <v>1949</v>
      </c>
      <c r="G1101" s="45" t="s">
        <v>1949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3" t="str">
        <f>VLOOKUP(A1102,Meta.Features!$A:$K,$E$1,FALSE)</f>
        <v>Nominal</v>
      </c>
      <c r="F1102" s="45" t="s">
        <v>1769</v>
      </c>
      <c r="G1102" s="45" t="s">
        <v>1769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3" t="str">
        <f>VLOOKUP(A1103,Meta.Features!$A:$K,$E$1,FALSE)</f>
        <v>Nominal</v>
      </c>
      <c r="F1103" s="45" t="s">
        <v>1715</v>
      </c>
      <c r="G1103" s="45" t="s">
        <v>1715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3" t="str">
        <f>VLOOKUP(A1104,Meta.Features!$A:$K,$E$1,FALSE)</f>
        <v>Nominal</v>
      </c>
      <c r="F1104" s="45" t="s">
        <v>1660</v>
      </c>
      <c r="G1104" s="45" t="s">
        <v>1660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3" t="str">
        <f>VLOOKUP(A1105,Meta.Features!$A:$K,$E$1,FALSE)</f>
        <v>Nominal</v>
      </c>
      <c r="F1105" s="45" t="s">
        <v>1824</v>
      </c>
      <c r="G1105" s="45" t="s">
        <v>1824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3" t="str">
        <f>VLOOKUP(A1106,Meta.Features!$A:$K,$E$1,FALSE)</f>
        <v>Nominal</v>
      </c>
      <c r="F1106" s="45" t="s">
        <v>1940</v>
      </c>
      <c r="G1106" s="45" t="s">
        <v>1940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3" t="str">
        <f>VLOOKUP(A1107,Meta.Features!$A:$K,$E$1,FALSE)</f>
        <v>Nominal</v>
      </c>
      <c r="F1107" s="45" t="s">
        <v>1782</v>
      </c>
      <c r="G1107" s="45" t="s">
        <v>1782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3" t="str">
        <f>VLOOKUP(A1108,Meta.Features!$A:$K,$E$1,FALSE)</f>
        <v>Nominal</v>
      </c>
      <c r="F1108" s="45" t="s">
        <v>1879</v>
      </c>
      <c r="G1108" s="45" t="s">
        <v>1879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3" t="str">
        <f>VLOOKUP(A1109,Meta.Features!$A:$K,$E$1,FALSE)</f>
        <v>Nominal</v>
      </c>
      <c r="F1109" s="45" t="s">
        <v>2032</v>
      </c>
      <c r="G1109" s="45" t="s">
        <v>2032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3" t="str">
        <f>VLOOKUP(A1110,Meta.Features!$A:$K,$E$1,FALSE)</f>
        <v>Nominal</v>
      </c>
      <c r="F1110" s="45" t="s">
        <v>1848</v>
      </c>
      <c r="G1110" s="45" t="s">
        <v>1848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3" t="str">
        <f>VLOOKUP(A1111,Meta.Features!$A:$K,$E$1,FALSE)</f>
        <v>Nominal</v>
      </c>
      <c r="F1111" s="45" t="s">
        <v>2066</v>
      </c>
      <c r="G1111" s="45" t="s">
        <v>2066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3" t="str">
        <f>VLOOKUP(A1112,Meta.Features!$A:$K,$E$1,FALSE)</f>
        <v>Nominal</v>
      </c>
      <c r="F1112" s="45" t="s">
        <v>1943</v>
      </c>
      <c r="G1112" s="45" t="s">
        <v>1943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3" t="str">
        <f>VLOOKUP(A1113,Meta.Features!$A:$K,$E$1,FALSE)</f>
        <v>Nominal</v>
      </c>
      <c r="F1113" s="45" t="s">
        <v>2082</v>
      </c>
      <c r="G1113" s="45" t="s">
        <v>2082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3" t="str">
        <f>VLOOKUP(A1114,Meta.Features!$A:$K,$E$1,FALSE)</f>
        <v>Nominal</v>
      </c>
      <c r="F1114" s="45" t="s">
        <v>2053</v>
      </c>
      <c r="G1114" s="45" t="s">
        <v>2053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3" t="str">
        <f>VLOOKUP(A1115,Meta.Features!$A:$K,$E$1,FALSE)</f>
        <v>Nominal</v>
      </c>
      <c r="F1115" s="45" t="s">
        <v>2043</v>
      </c>
      <c r="G1115" s="45" t="s">
        <v>2043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3" t="str">
        <f>VLOOKUP(A1116,Meta.Features!$A:$K,$E$1,FALSE)</f>
        <v>Nominal</v>
      </c>
      <c r="F1116" s="45" t="s">
        <v>2033</v>
      </c>
      <c r="G1116" s="45" t="s">
        <v>2033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3" t="str">
        <f>VLOOKUP(A1117,Meta.Features!$A:$K,$E$1,FALSE)</f>
        <v>Nominal</v>
      </c>
      <c r="F1117" s="45" t="s">
        <v>1945</v>
      </c>
      <c r="G1117" s="45" t="s">
        <v>1945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3" t="str">
        <f>VLOOKUP(A1118,Meta.Features!$A:$K,$E$1,FALSE)</f>
        <v>Nominal</v>
      </c>
      <c r="F1118" s="45" t="s">
        <v>2137</v>
      </c>
      <c r="G1118" s="45" t="s">
        <v>2137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3" t="str">
        <f>VLOOKUP(A1119,Meta.Features!$A:$K,$E$1,FALSE)</f>
        <v>Nominal</v>
      </c>
      <c r="F1119" s="45" t="s">
        <v>1900</v>
      </c>
      <c r="G1119" s="45" t="s">
        <v>1900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3" t="str">
        <f>VLOOKUP(A1120,Meta.Features!$A:$K,$E$1,FALSE)</f>
        <v>Nominal</v>
      </c>
      <c r="F1120" s="45" t="s">
        <v>1756</v>
      </c>
      <c r="G1120" s="45" t="s">
        <v>1756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3" t="str">
        <f>VLOOKUP(A1121,Meta.Features!$A:$K,$E$1,FALSE)</f>
        <v>Nominal</v>
      </c>
      <c r="F1121" s="45" t="s">
        <v>1722</v>
      </c>
      <c r="G1121" s="45" t="s">
        <v>1722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3" t="str">
        <f>VLOOKUP(A1122,Meta.Features!$A:$K,$E$1,FALSE)</f>
        <v>Nominal</v>
      </c>
      <c r="F1122" s="45" t="s">
        <v>1699</v>
      </c>
      <c r="G1122" s="45" t="s">
        <v>1699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3" t="str">
        <f>VLOOKUP(A1123,Meta.Features!$A:$K,$E$1,FALSE)</f>
        <v>Nominal</v>
      </c>
      <c r="F1123" s="45" t="s">
        <v>1893</v>
      </c>
      <c r="G1123" s="45" t="s">
        <v>1893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3" t="str">
        <f>VLOOKUP(A1124,Meta.Features!$A:$K,$E$1,FALSE)</f>
        <v>Nominal</v>
      </c>
      <c r="F1124" s="45" t="s">
        <v>1761</v>
      </c>
      <c r="G1124" s="45" t="s">
        <v>1761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3" t="str">
        <f>VLOOKUP(A1125,Meta.Features!$A:$K,$E$1,FALSE)</f>
        <v>Nominal</v>
      </c>
      <c r="F1125" s="45" t="s">
        <v>1622</v>
      </c>
      <c r="G1125" s="45" t="s">
        <v>1622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3" t="str">
        <f>VLOOKUP(A1126,Meta.Features!$A:$K,$E$1,FALSE)</f>
        <v>Nominal</v>
      </c>
      <c r="F1126" s="45" t="s">
        <v>1709</v>
      </c>
      <c r="G1126" s="45" t="s">
        <v>1709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3" t="str">
        <f>VLOOKUP(A1127,Meta.Features!$A:$K,$E$1,FALSE)</f>
        <v>Nominal</v>
      </c>
      <c r="F1127" s="45" t="s">
        <v>2058</v>
      </c>
      <c r="G1127" s="45" t="s">
        <v>2058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3" t="str">
        <f>VLOOKUP(A1128,Meta.Features!$A:$K,$E$1,FALSE)</f>
        <v>Nominal</v>
      </c>
      <c r="F1128" s="45" t="s">
        <v>2029</v>
      </c>
      <c r="G1128" s="45" t="s">
        <v>2029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3" t="str">
        <f>VLOOKUP(A1129,Meta.Features!$A:$K,$E$1,FALSE)</f>
        <v>Nominal</v>
      </c>
      <c r="F1129" s="45" t="s">
        <v>2116</v>
      </c>
      <c r="G1129" s="45" t="s">
        <v>2116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3" t="str">
        <f>VLOOKUP(A1130,Meta.Features!$A:$K,$E$1,FALSE)</f>
        <v>Nominal</v>
      </c>
      <c r="F1130" s="45" t="s">
        <v>1768</v>
      </c>
      <c r="G1130" s="45" t="s">
        <v>1768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3" t="str">
        <f>VLOOKUP(A1131,Meta.Features!$A:$K,$E$1,FALSE)</f>
        <v>Nominal</v>
      </c>
      <c r="F1131" s="45" t="s">
        <v>2062</v>
      </c>
      <c r="G1131" s="45" t="s">
        <v>2062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3" t="str">
        <f>VLOOKUP(A1132,Meta.Features!$A:$K,$E$1,FALSE)</f>
        <v>Nominal</v>
      </c>
      <c r="F1132" s="45" t="s">
        <v>2048</v>
      </c>
      <c r="G1132" s="45" t="s">
        <v>2048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3" t="str">
        <f>VLOOKUP(A1133,Meta.Features!$A:$K,$E$1,FALSE)</f>
        <v>Nominal</v>
      </c>
      <c r="F1133" s="45" t="s">
        <v>1796</v>
      </c>
      <c r="G1133" s="45" t="s">
        <v>1796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3" t="str">
        <f>VLOOKUP(A1134,Meta.Features!$A:$K,$E$1,FALSE)</f>
        <v>Nominal</v>
      </c>
      <c r="F1134" s="45" t="s">
        <v>1980</v>
      </c>
      <c r="G1134" s="45" t="s">
        <v>1980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3" t="str">
        <f>VLOOKUP(A1135,Meta.Features!$A:$K,$E$1,FALSE)</f>
        <v>Nominal</v>
      </c>
      <c r="F1135" s="45" t="s">
        <v>1983</v>
      </c>
      <c r="G1135" s="45" t="s">
        <v>1983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3" t="str">
        <f>VLOOKUP(A1136,Meta.Features!$A:$K,$E$1,FALSE)</f>
        <v>Nominal</v>
      </c>
      <c r="F1136" s="45" t="s">
        <v>1984</v>
      </c>
      <c r="G1136" s="45" t="s">
        <v>1984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3" t="str">
        <f>VLOOKUP(A1137,Meta.Features!$A:$K,$E$1,FALSE)</f>
        <v>Nominal</v>
      </c>
      <c r="F1137" s="45" t="s">
        <v>1988</v>
      </c>
      <c r="G1137" s="45" t="s">
        <v>1988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3" t="str">
        <f>VLOOKUP(A1138,Meta.Features!$A:$K,$E$1,FALSE)</f>
        <v>Nominal</v>
      </c>
      <c r="F1138" s="45" t="s">
        <v>1985</v>
      </c>
      <c r="G1138" s="45" t="s">
        <v>1985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3" t="str">
        <f>VLOOKUP(A1139,Meta.Features!$A:$K,$E$1,FALSE)</f>
        <v>Nominal</v>
      </c>
      <c r="F1139" s="45" t="s">
        <v>1981</v>
      </c>
      <c r="G1139" s="45" t="s">
        <v>1981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3" t="str">
        <f>VLOOKUP(A1140,Meta.Features!$A:$K,$E$1,FALSE)</f>
        <v>Nominal</v>
      </c>
      <c r="F1140" s="45" t="s">
        <v>1986</v>
      </c>
      <c r="G1140" s="45" t="s">
        <v>1986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3" t="str">
        <f>VLOOKUP(A1141,Meta.Features!$A:$K,$E$1,FALSE)</f>
        <v>Nominal</v>
      </c>
      <c r="F1141" s="45" t="s">
        <v>1987</v>
      </c>
      <c r="G1141" s="45" t="s">
        <v>1987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3" t="str">
        <f>VLOOKUP(A1142,Meta.Features!$A:$K,$E$1,FALSE)</f>
        <v>Nominal</v>
      </c>
      <c r="F1142" s="45" t="s">
        <v>1982</v>
      </c>
      <c r="G1142" s="45" t="s">
        <v>1982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3" t="str">
        <f>VLOOKUP(A1143,Meta.Features!$A:$K,$E$1,FALSE)</f>
        <v>Nominal</v>
      </c>
      <c r="F1143" s="45" t="s">
        <v>1997</v>
      </c>
      <c r="G1143" s="45" t="s">
        <v>1997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3" t="str">
        <f>VLOOKUP(A1144,Meta.Features!$A:$K,$E$1,FALSE)</f>
        <v>Nominal</v>
      </c>
      <c r="F1144" s="45" t="s">
        <v>1826</v>
      </c>
      <c r="G1144" s="45" t="s">
        <v>1826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3" t="str">
        <f>VLOOKUP(A1145,Meta.Features!$A:$K,$E$1,FALSE)</f>
        <v>Nominal</v>
      </c>
      <c r="F1145" s="45" t="s">
        <v>1686</v>
      </c>
      <c r="G1145" s="45" t="s">
        <v>1686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3" t="str">
        <f>VLOOKUP(A1146,Meta.Features!$A:$K,$E$1,FALSE)</f>
        <v>Nominal</v>
      </c>
      <c r="F1146" s="45" t="s">
        <v>1799</v>
      </c>
      <c r="G1146" s="45" t="s">
        <v>1799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3" t="str">
        <f>VLOOKUP(A1147,Meta.Features!$A:$K,$E$1,FALSE)</f>
        <v>Nominal</v>
      </c>
      <c r="F1147" s="45" t="s">
        <v>2103</v>
      </c>
      <c r="G1147" s="45" t="s">
        <v>2103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3" t="str">
        <f>VLOOKUP(A1148,Meta.Features!$A:$K,$E$1,FALSE)</f>
        <v>Nominal</v>
      </c>
      <c r="F1148" s="45" t="s">
        <v>1923</v>
      </c>
      <c r="G1148" s="45" t="s">
        <v>1923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3" t="str">
        <f>VLOOKUP(A1149,Meta.Features!$A:$K,$E$1,FALSE)</f>
        <v>Nominal</v>
      </c>
      <c r="F1149" s="45" t="s">
        <v>1708</v>
      </c>
      <c r="G1149" s="45" t="s">
        <v>1708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3" t="str">
        <f>VLOOKUP(A1150,Meta.Features!$A:$K,$E$1,FALSE)</f>
        <v>Nominal</v>
      </c>
      <c r="F1150" s="45" t="s">
        <v>1871</v>
      </c>
      <c r="G1150" s="45" t="s">
        <v>1871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3" t="str">
        <f>VLOOKUP(A1151,Meta.Features!$A:$K,$E$1,FALSE)</f>
        <v>Nominal</v>
      </c>
      <c r="F1151" s="45" t="s">
        <v>2079</v>
      </c>
      <c r="G1151" s="45" t="s">
        <v>2079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3" t="str">
        <f>VLOOKUP(A1152,Meta.Features!$A:$K,$E$1,FALSE)</f>
        <v>Nominal</v>
      </c>
      <c r="F1152" s="45" t="s">
        <v>2012</v>
      </c>
      <c r="G1152" s="45" t="s">
        <v>2012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3" t="str">
        <f>VLOOKUP(A1153,Meta.Features!$A:$K,$E$1,FALSE)</f>
        <v>Nominal</v>
      </c>
      <c r="F1153" s="45" t="s">
        <v>2013</v>
      </c>
      <c r="G1153" s="45" t="s">
        <v>2013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3" t="str">
        <f>VLOOKUP(A1154,Meta.Features!$A:$K,$E$1,FALSE)</f>
        <v>Nominal</v>
      </c>
      <c r="F1154" s="45" t="s">
        <v>1745</v>
      </c>
      <c r="G1154" s="45" t="s">
        <v>1745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3" t="str">
        <f>VLOOKUP(A1155,Meta.Features!$A:$K,$E$1,FALSE)</f>
        <v>Nominal</v>
      </c>
      <c r="F1155" s="45" t="s">
        <v>1781</v>
      </c>
      <c r="G1155" s="45" t="s">
        <v>1781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3" t="str">
        <f>VLOOKUP(A1156,Meta.Features!$A:$K,$E$1,FALSE)</f>
        <v>Nominal</v>
      </c>
      <c r="F1156" s="45" t="s">
        <v>1723</v>
      </c>
      <c r="G1156" s="45" t="s">
        <v>1723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3" t="str">
        <f>VLOOKUP(A1157,Meta.Features!$A:$K,$E$1,FALSE)</f>
        <v>Nominal</v>
      </c>
      <c r="F1157" s="45" t="s">
        <v>2127</v>
      </c>
      <c r="G1157" s="45" t="s">
        <v>2127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3" t="str">
        <f>VLOOKUP(A1158,Meta.Features!$A:$K,$E$1,FALSE)</f>
        <v>Nominal</v>
      </c>
      <c r="F1158" s="45" t="s">
        <v>2131</v>
      </c>
      <c r="G1158" s="45" t="s">
        <v>2131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3" t="str">
        <f>VLOOKUP(A1159,Meta.Features!$A:$K,$E$1,FALSE)</f>
        <v>Nominal</v>
      </c>
      <c r="F1159" s="45" t="s">
        <v>2041</v>
      </c>
      <c r="G1159" s="45" t="s">
        <v>2041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3" t="str">
        <f>VLOOKUP(A1160,Meta.Features!$A:$K,$E$1,FALSE)</f>
        <v>Nominal</v>
      </c>
      <c r="F1160" s="45" t="s">
        <v>1972</v>
      </c>
      <c r="G1160" s="45" t="s">
        <v>1972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3" t="str">
        <f>VLOOKUP(A1161,Meta.Features!$A:$K,$E$1,FALSE)</f>
        <v>Nominal</v>
      </c>
      <c r="F1161" s="45" t="s">
        <v>2021</v>
      </c>
      <c r="G1161" s="45" t="s">
        <v>2021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3" t="str">
        <f>VLOOKUP(A1162,Meta.Features!$A:$K,$E$1,FALSE)</f>
        <v>Nominal</v>
      </c>
      <c r="F1162" s="45" t="s">
        <v>1777</v>
      </c>
      <c r="G1162" s="45" t="s">
        <v>1777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3" t="str">
        <f>VLOOKUP(A1163,Meta.Features!$A:$K,$E$1,FALSE)</f>
        <v>Nominal</v>
      </c>
      <c r="F1163" s="45" t="s">
        <v>1960</v>
      </c>
      <c r="G1163" s="45" t="s">
        <v>1960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3" t="str">
        <f>VLOOKUP(A1164,Meta.Features!$A:$K,$E$1,FALSE)</f>
        <v>Nominal</v>
      </c>
      <c r="F1164" s="45" t="s">
        <v>2046</v>
      </c>
      <c r="G1164" s="45" t="s">
        <v>2046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3" t="str">
        <f>VLOOKUP(A1165,Meta.Features!$A:$K,$E$1,FALSE)</f>
        <v>Nominal</v>
      </c>
      <c r="F1165" s="45" t="s">
        <v>1942</v>
      </c>
      <c r="G1165" s="45" t="s">
        <v>1942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3" t="str">
        <f>VLOOKUP(A1166,Meta.Features!$A:$K,$E$1,FALSE)</f>
        <v>Nominal</v>
      </c>
      <c r="F1166" s="45" t="s">
        <v>1946</v>
      </c>
      <c r="G1166" s="45" t="s">
        <v>1946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3" t="str">
        <f>VLOOKUP(A1167,Meta.Features!$A:$K,$E$1,FALSE)</f>
        <v>Nominal</v>
      </c>
      <c r="F1167" s="45" t="s">
        <v>2042</v>
      </c>
      <c r="G1167" s="45" t="s">
        <v>2042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3" t="str">
        <f>VLOOKUP(A1168,Meta.Features!$A:$K,$E$1,FALSE)</f>
        <v>Nominal</v>
      </c>
      <c r="F1168" s="45" t="s">
        <v>2091</v>
      </c>
      <c r="G1168" s="45" t="s">
        <v>2091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3" t="str">
        <f>VLOOKUP(A1169,Meta.Features!$A:$K,$E$1,FALSE)</f>
        <v>Nominal</v>
      </c>
      <c r="F1169" s="45" t="s">
        <v>1975</v>
      </c>
      <c r="G1169" s="45" t="s">
        <v>1975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3" t="str">
        <f>VLOOKUP(A1170,Meta.Features!$A:$K,$E$1,FALSE)</f>
        <v>Nominal</v>
      </c>
      <c r="F1170" s="45" t="s">
        <v>1894</v>
      </c>
      <c r="G1170" s="45" t="s">
        <v>1894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3" t="str">
        <f>VLOOKUP(A1171,Meta.Features!$A:$K,$E$1,FALSE)</f>
        <v>Nominal</v>
      </c>
      <c r="F1171" s="45" t="s">
        <v>1634</v>
      </c>
      <c r="G1171" s="45" t="s">
        <v>1634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3" t="str">
        <f>VLOOKUP(A1172,Meta.Features!$A:$K,$E$1,FALSE)</f>
        <v>Nominal</v>
      </c>
      <c r="F1172" s="45" t="s">
        <v>1844</v>
      </c>
      <c r="G1172" s="45" t="s">
        <v>1844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3" t="str">
        <f>VLOOKUP(A1173,Meta.Features!$A:$K,$E$1,FALSE)</f>
        <v>Nominal</v>
      </c>
      <c r="F1173" s="45" t="s">
        <v>1901</v>
      </c>
      <c r="G1173" s="45" t="s">
        <v>1901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3" t="str">
        <f>VLOOKUP(A1174,Meta.Features!$A:$K,$E$1,FALSE)</f>
        <v>Nominal</v>
      </c>
      <c r="F1174" s="45" t="s">
        <v>1733</v>
      </c>
      <c r="G1174" s="45" t="s">
        <v>1733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3" t="str">
        <f>VLOOKUP(A1175,Meta.Features!$A:$K,$E$1,FALSE)</f>
        <v>Nominal</v>
      </c>
      <c r="F1175" s="45" t="s">
        <v>1926</v>
      </c>
      <c r="G1175" s="45" t="s">
        <v>1926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3" t="str">
        <f>VLOOKUP(A1176,Meta.Features!$A:$K,$E$1,FALSE)</f>
        <v>Nominal</v>
      </c>
      <c r="F1176" s="45" t="s">
        <v>1629</v>
      </c>
      <c r="G1176" s="45" t="s">
        <v>1629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3" t="str">
        <f>VLOOKUP(A1177,Meta.Features!$A:$K,$E$1,FALSE)</f>
        <v>Nominal</v>
      </c>
      <c r="F1177" s="45" t="s">
        <v>1805</v>
      </c>
      <c r="G1177" s="45" t="s">
        <v>1805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3" t="str">
        <f>VLOOKUP(A1178,Meta.Features!$A:$K,$E$1,FALSE)</f>
        <v>Nominal</v>
      </c>
      <c r="F1178" s="45" t="s">
        <v>1775</v>
      </c>
      <c r="G1178" s="45" t="s">
        <v>1775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3" t="str">
        <f>VLOOKUP(A1179,Meta.Features!$A:$K,$E$1,FALSE)</f>
        <v>Nominal</v>
      </c>
      <c r="F1179" s="45" t="s">
        <v>1904</v>
      </c>
      <c r="G1179" s="45" t="s">
        <v>1904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3" t="str">
        <f>VLOOKUP(A1180,Meta.Features!$A:$K,$E$1,FALSE)</f>
        <v>Nominal</v>
      </c>
      <c r="F1180" s="45" t="s">
        <v>1939</v>
      </c>
      <c r="G1180" s="45" t="s">
        <v>1939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3" t="str">
        <f>VLOOKUP(A1181,Meta.Features!$A:$K,$E$1,FALSE)</f>
        <v>Nominal</v>
      </c>
      <c r="F1181" s="45" t="s">
        <v>1938</v>
      </c>
      <c r="G1181" s="45" t="s">
        <v>1938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3" t="str">
        <f>VLOOKUP(A1182,Meta.Features!$A:$K,$E$1,FALSE)</f>
        <v>Nominal</v>
      </c>
      <c r="F1182" s="45" t="s">
        <v>2031</v>
      </c>
      <c r="G1182" s="45" t="s">
        <v>2031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3" t="str">
        <f>VLOOKUP(A1183,Meta.Features!$A:$K,$E$1,FALSE)</f>
        <v>Nominal</v>
      </c>
      <c r="F1183" s="45" t="s">
        <v>1620</v>
      </c>
      <c r="G1183" s="45" t="s">
        <v>1620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3" t="str">
        <f>VLOOKUP(A1184,Meta.Features!$A:$K,$E$1,FALSE)</f>
        <v>Nominal</v>
      </c>
      <c r="F1184" s="45" t="s">
        <v>1626</v>
      </c>
      <c r="G1184" s="45" t="s">
        <v>1626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3" t="str">
        <f>VLOOKUP(A1185,Meta.Features!$A:$K,$E$1,FALSE)</f>
        <v>Nominal</v>
      </c>
      <c r="F1185" s="45" t="s">
        <v>1650</v>
      </c>
      <c r="G1185" s="45" t="s">
        <v>1650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3" t="str">
        <f>VLOOKUP(A1186,Meta.Features!$A:$K,$E$1,FALSE)</f>
        <v>Nominal</v>
      </c>
      <c r="F1186" s="45" t="s">
        <v>1646</v>
      </c>
      <c r="G1186" s="45" t="s">
        <v>1646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3" t="str">
        <f>VLOOKUP(A1187,Meta.Features!$A:$K,$E$1,FALSE)</f>
        <v>Nominal</v>
      </c>
      <c r="F1187" s="45" t="s">
        <v>1646</v>
      </c>
      <c r="G1187" s="45" t="s">
        <v>1646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3" t="str">
        <f>VLOOKUP(A1188,Meta.Features!$A:$K,$E$1,FALSE)</f>
        <v>Nominal</v>
      </c>
      <c r="F1188" s="45" t="s">
        <v>1865</v>
      </c>
      <c r="G1188" s="45" t="s">
        <v>1865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3" t="str">
        <f>VLOOKUP(A1189,Meta.Features!$A:$K,$E$1,FALSE)</f>
        <v>Nominal</v>
      </c>
      <c r="F1189" s="45" t="s">
        <v>1860</v>
      </c>
      <c r="G1189" s="45" t="s">
        <v>1860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3" t="str">
        <f>VLOOKUP(A1190,Meta.Features!$A:$K,$E$1,FALSE)</f>
        <v>Nominal</v>
      </c>
      <c r="F1190" s="45" t="s">
        <v>1779</v>
      </c>
      <c r="G1190" s="45" t="s">
        <v>1779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3" t="str">
        <f>VLOOKUP(A1191,Meta.Features!$A:$K,$E$1,FALSE)</f>
        <v>Nominal</v>
      </c>
      <c r="F1191" s="45" t="s">
        <v>2034</v>
      </c>
      <c r="G1191" s="45" t="s">
        <v>2034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3" t="str">
        <f>VLOOKUP(A1192,Meta.Features!$A:$K,$E$1,FALSE)</f>
        <v>Nominal</v>
      </c>
      <c r="F1192" s="45" t="s">
        <v>1903</v>
      </c>
      <c r="G1192" s="45" t="s">
        <v>1903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3" t="str">
        <f>VLOOKUP(A1193,Meta.Features!$A:$K,$E$1,FALSE)</f>
        <v>Nominal</v>
      </c>
      <c r="F1193" s="45" t="s">
        <v>2045</v>
      </c>
      <c r="G1193" s="45" t="s">
        <v>2045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3" t="str">
        <f>VLOOKUP(A1194,Meta.Features!$A:$K,$E$1,FALSE)</f>
        <v>Nominal</v>
      </c>
      <c r="F1194" s="45" t="s">
        <v>2090</v>
      </c>
      <c r="G1194" s="45" t="s">
        <v>2090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3" t="str">
        <f>VLOOKUP(A1195,Meta.Features!$A:$K,$E$1,FALSE)</f>
        <v>Nominal</v>
      </c>
      <c r="F1195" s="45" t="s">
        <v>1689</v>
      </c>
      <c r="G1195" s="45" t="s">
        <v>1689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3" t="str">
        <f>VLOOKUP(A1196,Meta.Features!$A:$K,$E$1,FALSE)</f>
        <v>Nominal</v>
      </c>
      <c r="F1196" s="45" t="s">
        <v>1689</v>
      </c>
      <c r="G1196" s="45" t="s">
        <v>1689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3" t="str">
        <f>VLOOKUP(A1197,Meta.Features!$A:$K,$E$1,FALSE)</f>
        <v>Nominal</v>
      </c>
      <c r="F1197" s="45" t="s">
        <v>1642</v>
      </c>
      <c r="G1197" s="45" t="s">
        <v>1642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3" t="str">
        <f>VLOOKUP(A1198,Meta.Features!$A:$K,$E$1,FALSE)</f>
        <v>Nominal</v>
      </c>
      <c r="F1198" s="45" t="s">
        <v>1906</v>
      </c>
      <c r="G1198" s="45" t="s">
        <v>1906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3" t="str">
        <f>VLOOKUP(A1199,Meta.Features!$A:$K,$E$1,FALSE)</f>
        <v>Nominal</v>
      </c>
      <c r="F1199" s="45" t="s">
        <v>1707</v>
      </c>
      <c r="G1199" s="45" t="s">
        <v>1707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3" t="str">
        <f>VLOOKUP(A1200,Meta.Features!$A:$K,$E$1,FALSE)</f>
        <v>Nominal</v>
      </c>
      <c r="F1200" s="45" t="s">
        <v>1908</v>
      </c>
      <c r="G1200" s="45" t="s">
        <v>1908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3" t="str">
        <f>VLOOKUP(A1201,Meta.Features!$A:$K,$E$1,FALSE)</f>
        <v>Nominal</v>
      </c>
      <c r="F1201" s="45" t="s">
        <v>1700</v>
      </c>
      <c r="G1201" s="45" t="s">
        <v>1700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3" t="str">
        <f>VLOOKUP(A1202,Meta.Features!$A:$K,$E$1,FALSE)</f>
        <v>Nominal</v>
      </c>
      <c r="F1202" s="45" t="s">
        <v>1724</v>
      </c>
      <c r="G1202" s="45" t="s">
        <v>1724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3" t="str">
        <f>VLOOKUP(A1203,Meta.Features!$A:$K,$E$1,FALSE)</f>
        <v>Nominal</v>
      </c>
      <c r="F1203" s="45" t="s">
        <v>1831</v>
      </c>
      <c r="G1203" s="45" t="s">
        <v>1831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3" t="str">
        <f>VLOOKUP(A1204,Meta.Features!$A:$K,$E$1,FALSE)</f>
        <v>Nominal</v>
      </c>
      <c r="F1204" s="45" t="s">
        <v>1970</v>
      </c>
      <c r="G1204" s="45" t="s">
        <v>1970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3" t="str">
        <f>VLOOKUP(A1205,Meta.Features!$A:$K,$E$1,FALSE)</f>
        <v>Nominal</v>
      </c>
      <c r="F1205" s="45" t="s">
        <v>1751</v>
      </c>
      <c r="G1205" s="45" t="s">
        <v>1751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3" t="str">
        <f>VLOOKUP(A1206,Meta.Features!$A:$K,$E$1,FALSE)</f>
        <v>Nominal</v>
      </c>
      <c r="F1206" s="45" t="s">
        <v>1847</v>
      </c>
      <c r="G1206" s="45" t="s">
        <v>1847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3" t="str">
        <f>VLOOKUP(A1207,Meta.Features!$A:$K,$E$1,FALSE)</f>
        <v>Nominal</v>
      </c>
      <c r="F1207" s="45" t="s">
        <v>1797</v>
      </c>
      <c r="G1207" s="45" t="s">
        <v>1797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3" t="str">
        <f>VLOOKUP(A1208,Meta.Features!$A:$K,$E$1,FALSE)</f>
        <v>Nominal</v>
      </c>
      <c r="F1208" s="45" t="s">
        <v>2107</v>
      </c>
      <c r="G1208" s="45" t="s">
        <v>2107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3" t="str">
        <f>VLOOKUP(A1209,Meta.Features!$A:$K,$E$1,FALSE)</f>
        <v>Nominal</v>
      </c>
      <c r="F1209" s="45" t="s">
        <v>2004</v>
      </c>
      <c r="G1209" s="45" t="s">
        <v>2004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3" t="str">
        <f>VLOOKUP(A1210,Meta.Features!$A:$K,$E$1,FALSE)</f>
        <v>Nominal</v>
      </c>
      <c r="F1210" s="45" t="s">
        <v>2051</v>
      </c>
      <c r="G1210" s="45" t="s">
        <v>2051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3" t="str">
        <f>VLOOKUP(A1211,Meta.Features!$A:$K,$E$1,FALSE)</f>
        <v>Nominal</v>
      </c>
      <c r="F1211" s="45" t="s">
        <v>2257</v>
      </c>
      <c r="G1211" s="45" t="s">
        <v>2257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3" t="str">
        <f>VLOOKUP(A1212,Meta.Features!$A:$K,$E$1,FALSE)</f>
        <v>Nominal</v>
      </c>
      <c r="F1212" s="45" t="s">
        <v>2109</v>
      </c>
      <c r="G1212" s="45" t="s">
        <v>2109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3" t="str">
        <f>VLOOKUP(A1213,Meta.Features!$A:$K,$E$1,FALSE)</f>
        <v>Nominal</v>
      </c>
      <c r="F1213" s="45" t="s">
        <v>1843</v>
      </c>
      <c r="G1213" s="45" t="s">
        <v>1843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3" t="str">
        <f>VLOOKUP(A1214,Meta.Features!$A:$K,$E$1,FALSE)</f>
        <v>Nominal</v>
      </c>
      <c r="F1214" s="45" t="s">
        <v>1808</v>
      </c>
      <c r="G1214" s="45" t="s">
        <v>1808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3" t="str">
        <f>VLOOKUP(A1215,Meta.Features!$A:$K,$E$1,FALSE)</f>
        <v>Nominal</v>
      </c>
      <c r="F1215" s="45" t="s">
        <v>1655</v>
      </c>
      <c r="G1215" s="45" t="s">
        <v>1655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3" t="str">
        <f>VLOOKUP(A1216,Meta.Features!$A:$K,$E$1,FALSE)</f>
        <v>Nominal</v>
      </c>
      <c r="F1216" s="45" t="s">
        <v>1746</v>
      </c>
      <c r="G1216" s="45" t="s">
        <v>1746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3" t="str">
        <f>VLOOKUP(A1217,Meta.Features!$A:$K,$E$1,FALSE)</f>
        <v>Nominal</v>
      </c>
      <c r="F1217" s="45" t="s">
        <v>2086</v>
      </c>
      <c r="G1217" s="45" t="s">
        <v>2086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3" t="str">
        <f>VLOOKUP(A1218,Meta.Features!$A:$K,$E$1,FALSE)</f>
        <v>Nominal</v>
      </c>
      <c r="F1218" s="45" t="s">
        <v>1711</v>
      </c>
      <c r="G1218" s="45" t="s">
        <v>1711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3" t="str">
        <f>VLOOKUP(A1219,Meta.Features!$A:$K,$E$1,FALSE)</f>
        <v>Nominal</v>
      </c>
      <c r="F1219" s="45" t="s">
        <v>1952</v>
      </c>
      <c r="G1219" s="45" t="s">
        <v>1952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3" t="str">
        <f>VLOOKUP(A1220,Meta.Features!$A:$K,$E$1,FALSE)</f>
        <v>Nominal</v>
      </c>
      <c r="F1220" s="45" t="s">
        <v>1638</v>
      </c>
      <c r="G1220" s="45" t="s">
        <v>1638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3" t="str">
        <f>VLOOKUP(A1221,Meta.Features!$A:$K,$E$1,FALSE)</f>
        <v>Nominal</v>
      </c>
      <c r="F1221" s="45" t="s">
        <v>1778</v>
      </c>
      <c r="G1221" s="45" t="s">
        <v>1778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3" t="str">
        <f>VLOOKUP(A1222,Meta.Features!$A:$K,$E$1,FALSE)</f>
        <v>Nominal</v>
      </c>
      <c r="F1222" s="45" t="s">
        <v>1881</v>
      </c>
      <c r="G1222" s="45" t="s">
        <v>1881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3" t="str">
        <f>VLOOKUP(A1223,Meta.Features!$A:$K,$E$1,FALSE)</f>
        <v>Nominal</v>
      </c>
      <c r="F1223" s="45" t="s">
        <v>1886</v>
      </c>
      <c r="G1223" s="45" t="s">
        <v>1886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3" t="str">
        <f>VLOOKUP(A1224,Meta.Features!$A:$K,$E$1,FALSE)</f>
        <v>Nominal</v>
      </c>
      <c r="F1224" s="45" t="s">
        <v>1809</v>
      </c>
      <c r="G1224" s="45" t="s">
        <v>1809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3" t="str">
        <f>VLOOKUP(A1225,Meta.Features!$A:$K,$E$1,FALSE)</f>
        <v>Nominal</v>
      </c>
      <c r="F1225" s="45" t="s">
        <v>1851</v>
      </c>
      <c r="G1225" s="45" t="s">
        <v>1851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3" t="str">
        <f>VLOOKUP(A1226,Meta.Features!$A:$K,$E$1,FALSE)</f>
        <v>Nominal</v>
      </c>
      <c r="F1226" s="45" t="s">
        <v>1795</v>
      </c>
      <c r="G1226" s="45" t="s">
        <v>1795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3" t="str">
        <f>VLOOKUP(A1227,Meta.Features!$A:$K,$E$1,FALSE)</f>
        <v>Nominal</v>
      </c>
      <c r="F1227" s="45" t="s">
        <v>1914</v>
      </c>
      <c r="G1227" s="45" t="s">
        <v>1914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3" t="str">
        <f>VLOOKUP(A1228,Meta.Features!$A:$K,$E$1,FALSE)</f>
        <v>Nominal</v>
      </c>
      <c r="F1228" s="45" t="s">
        <v>2114</v>
      </c>
      <c r="G1228" s="45" t="s">
        <v>2114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3" t="str">
        <f>VLOOKUP(A1229,Meta.Features!$A:$K,$E$1,FALSE)</f>
        <v>Nominal</v>
      </c>
      <c r="F1229" s="45" t="s">
        <v>1794</v>
      </c>
      <c r="G1229" s="45" t="s">
        <v>1794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3" t="str">
        <f>VLOOKUP(A1230,Meta.Features!$A:$K,$E$1,FALSE)</f>
        <v>Nominal</v>
      </c>
      <c r="F1230" s="45" t="s">
        <v>1794</v>
      </c>
      <c r="G1230" s="45" t="s">
        <v>1794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3" t="str">
        <f>VLOOKUP(A1231,Meta.Features!$A:$K,$E$1,FALSE)</f>
        <v>Nominal</v>
      </c>
      <c r="F1231" s="45" t="s">
        <v>1880</v>
      </c>
      <c r="G1231" s="45" t="s">
        <v>1880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3" t="str">
        <f>VLOOKUP(A1232,Meta.Features!$A:$K,$E$1,FALSE)</f>
        <v>Nominal</v>
      </c>
      <c r="F1232" s="45" t="s">
        <v>1832</v>
      </c>
      <c r="G1232" s="45" t="s">
        <v>1832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3" t="str">
        <f>VLOOKUP(A1233,Meta.Features!$A:$K,$E$1,FALSE)</f>
        <v>Nominal</v>
      </c>
      <c r="F1233" s="45" t="s">
        <v>1720</v>
      </c>
      <c r="G1233" s="45" t="s">
        <v>1720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3" t="str">
        <f>VLOOKUP(A1234,Meta.Features!$A:$K,$E$1,FALSE)</f>
        <v>Nominal</v>
      </c>
      <c r="F1234" s="45" t="s">
        <v>2089</v>
      </c>
      <c r="G1234" s="45" t="s">
        <v>2089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3" t="str">
        <f>VLOOKUP(A1235,Meta.Features!$A:$K,$E$1,FALSE)</f>
        <v>Nominal</v>
      </c>
      <c r="F1235" s="45" t="s">
        <v>1915</v>
      </c>
      <c r="G1235" s="45" t="s">
        <v>1915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3" t="str">
        <f>VLOOKUP(A1236,Meta.Features!$A:$K,$E$1,FALSE)</f>
        <v>Nominal</v>
      </c>
      <c r="F1236" s="45" t="s">
        <v>2067</v>
      </c>
      <c r="G1236" s="45" t="s">
        <v>2067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3" t="str">
        <f>VLOOKUP(A1237,Meta.Features!$A:$K,$E$1,FALSE)</f>
        <v>Nominal</v>
      </c>
      <c r="F1237" s="45" t="s">
        <v>1838</v>
      </c>
      <c r="G1237" s="45" t="s">
        <v>1838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3" t="str">
        <f>VLOOKUP(A1238,Meta.Features!$A:$K,$E$1,FALSE)</f>
        <v>Nominal</v>
      </c>
      <c r="F1238" s="45" t="s">
        <v>2001</v>
      </c>
      <c r="G1238" s="45" t="s">
        <v>2001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3" t="str">
        <f>VLOOKUP(A1239,Meta.Features!$A:$K,$E$1,FALSE)</f>
        <v>Nominal</v>
      </c>
      <c r="F1239" s="45" t="s">
        <v>1759</v>
      </c>
      <c r="G1239" s="45" t="s">
        <v>1759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3" t="str">
        <f>VLOOKUP(A1240,Meta.Features!$A:$K,$E$1,FALSE)</f>
        <v>Nominal</v>
      </c>
      <c r="F1240" s="45" t="s">
        <v>1718</v>
      </c>
      <c r="G1240" s="45" t="s">
        <v>1718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3" t="str">
        <f>VLOOKUP(A1241,Meta.Features!$A:$K,$E$1,FALSE)</f>
        <v>Nominal</v>
      </c>
      <c r="F1241" s="45" t="s">
        <v>1855</v>
      </c>
      <c r="G1241" s="45" t="s">
        <v>1855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3" t="str">
        <f>VLOOKUP(A1242,Meta.Features!$A:$K,$E$1,FALSE)</f>
        <v>Nominal</v>
      </c>
      <c r="F1242" s="45" t="s">
        <v>2096</v>
      </c>
      <c r="G1242" s="45" t="s">
        <v>2096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3" t="str">
        <f>VLOOKUP(A1243,Meta.Features!$A:$K,$E$1,FALSE)</f>
        <v>Nominal</v>
      </c>
      <c r="F1243" s="45" t="s">
        <v>1680</v>
      </c>
      <c r="G1243" s="45" t="s">
        <v>1680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3" t="str">
        <f>VLOOKUP(A1244,Meta.Features!$A:$K,$E$1,FALSE)</f>
        <v>Nominal</v>
      </c>
      <c r="F1244" s="45" t="s">
        <v>1684</v>
      </c>
      <c r="G1244" s="45" t="s">
        <v>1684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3" t="str">
        <f>VLOOKUP(A1245,Meta.Features!$A:$K,$E$1,FALSE)</f>
        <v>Nominal</v>
      </c>
      <c r="F1245" s="45" t="s">
        <v>1682</v>
      </c>
      <c r="G1245" s="45" t="s">
        <v>1682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3" t="str">
        <f>VLOOKUP(A1246,Meta.Features!$A:$K,$E$1,FALSE)</f>
        <v>Nominal</v>
      </c>
      <c r="F1246" s="45" t="s">
        <v>1750</v>
      </c>
      <c r="G1246" s="45" t="s">
        <v>1750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3" t="str">
        <f>VLOOKUP(A1247,Meta.Features!$A:$K,$E$1,FALSE)</f>
        <v>Nominal</v>
      </c>
      <c r="F1247" s="45" t="s">
        <v>1864</v>
      </c>
      <c r="G1247" s="45" t="s">
        <v>1864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3" t="str">
        <f>VLOOKUP(A1248,Meta.Features!$A:$K,$E$1,FALSE)</f>
        <v>Nominal</v>
      </c>
      <c r="F1248" s="45" t="s">
        <v>1738</v>
      </c>
      <c r="G1248" s="45" t="s">
        <v>1738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3" t="str">
        <f>VLOOKUP(A1249,Meta.Features!$A:$K,$E$1,FALSE)</f>
        <v>Nominal</v>
      </c>
      <c r="F1249" s="45" t="s">
        <v>1885</v>
      </c>
      <c r="G1249" s="45" t="s">
        <v>1885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3" t="str">
        <f>VLOOKUP(A1250,Meta.Features!$A:$K,$E$1,FALSE)</f>
        <v>Nominal</v>
      </c>
      <c r="F1250" s="45" t="s">
        <v>1807</v>
      </c>
      <c r="G1250" s="45" t="s">
        <v>1807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3" t="str">
        <f>VLOOKUP(A1251,Meta.Features!$A:$K,$E$1,FALSE)</f>
        <v>Nominal</v>
      </c>
      <c r="F1251" s="45" t="s">
        <v>1874</v>
      </c>
      <c r="G1251" s="45" t="s">
        <v>1874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3" t="str">
        <f>VLOOKUP(A1252,Meta.Features!$A:$K,$E$1,FALSE)</f>
        <v>Nominal</v>
      </c>
      <c r="F1252" s="45" t="s">
        <v>1765</v>
      </c>
      <c r="G1252" s="45" t="s">
        <v>1765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3" t="str">
        <f>VLOOKUP(A1253,Meta.Features!$A:$K,$E$1,FALSE)</f>
        <v>Nominal</v>
      </c>
      <c r="F1253" s="45" t="s">
        <v>1772</v>
      </c>
      <c r="G1253" s="45" t="s">
        <v>1772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3" t="str">
        <f>VLOOKUP(A1254,Meta.Features!$A:$K,$E$1,FALSE)</f>
        <v>Nominal</v>
      </c>
      <c r="F1254" s="45" t="s">
        <v>2104</v>
      </c>
      <c r="G1254" s="45" t="s">
        <v>2104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3" t="str">
        <f>VLOOKUP(A1255,Meta.Features!$A:$K,$E$1,FALSE)</f>
        <v>Nominal</v>
      </c>
      <c r="F1255" s="45" t="s">
        <v>2024</v>
      </c>
      <c r="G1255" s="45" t="s">
        <v>2024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3" t="str">
        <f>VLOOKUP(A1256,Meta.Features!$A:$K,$E$1,FALSE)</f>
        <v>Nominal</v>
      </c>
      <c r="F1256" s="45" t="s">
        <v>1909</v>
      </c>
      <c r="G1256" s="45" t="s">
        <v>1909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3" t="str">
        <f>VLOOKUP(A1257,Meta.Features!$A:$K,$E$1,FALSE)</f>
        <v>Nominal</v>
      </c>
      <c r="F1257" s="45" t="s">
        <v>2123</v>
      </c>
      <c r="G1257" s="45" t="s">
        <v>2123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3" t="str">
        <f>VLOOKUP(A1258,Meta.Features!$A:$K,$E$1,FALSE)</f>
        <v>Nominal</v>
      </c>
      <c r="F1258" s="45" t="s">
        <v>1974</v>
      </c>
      <c r="G1258" s="45" t="s">
        <v>1974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3" t="str">
        <f>VLOOKUP(A1259,Meta.Features!$A:$K,$E$1,FALSE)</f>
        <v>Nominal</v>
      </c>
      <c r="F1259" s="45" t="s">
        <v>1990</v>
      </c>
      <c r="G1259" s="45" t="s">
        <v>1990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3" t="str">
        <f>VLOOKUP(A1260,Meta.Features!$A:$K,$E$1,FALSE)</f>
        <v>Nominal</v>
      </c>
      <c r="F1260" s="45" t="s">
        <v>1999</v>
      </c>
      <c r="G1260" s="45" t="s">
        <v>1999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3" t="str">
        <f>VLOOKUP(A1261,Meta.Features!$A:$K,$E$1,FALSE)</f>
        <v>Nominal</v>
      </c>
      <c r="F1261" s="45" t="s">
        <v>1989</v>
      </c>
      <c r="G1261" s="45" t="s">
        <v>1989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3" t="str">
        <f>VLOOKUP(A1262,Meta.Features!$A:$K,$E$1,FALSE)</f>
        <v>Nominal</v>
      </c>
      <c r="F1262" s="45" t="s">
        <v>1998</v>
      </c>
      <c r="G1262" s="45" t="s">
        <v>1998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3" t="str">
        <f>VLOOKUP(A1263,Meta.Features!$A:$K,$E$1,FALSE)</f>
        <v>Nominal</v>
      </c>
      <c r="F1263" s="45" t="s">
        <v>1995</v>
      </c>
      <c r="G1263" s="45" t="s">
        <v>1995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3" t="str">
        <f>VLOOKUP(A1264,Meta.Features!$A:$K,$E$1,FALSE)</f>
        <v>Nominal</v>
      </c>
      <c r="F1264" s="45" t="s">
        <v>1992</v>
      </c>
      <c r="G1264" s="45" t="s">
        <v>1992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3" t="str">
        <f>VLOOKUP(A1265,Meta.Features!$A:$K,$E$1,FALSE)</f>
        <v>Nominal</v>
      </c>
      <c r="F1265" s="45" t="s">
        <v>1978</v>
      </c>
      <c r="G1265" s="45" t="s">
        <v>1978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3" t="str">
        <f>VLOOKUP(A1266,Meta.Features!$A:$K,$E$1,FALSE)</f>
        <v>Nominal</v>
      </c>
      <c r="F1266" s="45" t="s">
        <v>1810</v>
      </c>
      <c r="G1266" s="45" t="s">
        <v>1810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3" t="str">
        <f>VLOOKUP(A1267,Meta.Features!$A:$K,$E$1,FALSE)</f>
        <v>Nominal</v>
      </c>
      <c r="F1267" s="45" t="s">
        <v>1648</v>
      </c>
      <c r="G1267" s="45" t="s">
        <v>1648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3" t="str">
        <f>VLOOKUP(A1268,Meta.Features!$A:$K,$E$1,FALSE)</f>
        <v>Nominal</v>
      </c>
      <c r="F1268" s="45" t="s">
        <v>1767</v>
      </c>
      <c r="G1268" s="45" t="s">
        <v>1767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3" t="str">
        <f>VLOOKUP(A1269,Meta.Features!$A:$K,$E$1,FALSE)</f>
        <v>Nominal</v>
      </c>
      <c r="F1269" s="45" t="s">
        <v>1902</v>
      </c>
      <c r="G1269" s="45" t="s">
        <v>1902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3" t="str">
        <f>VLOOKUP(A1270,Meta.Features!$A:$K,$E$1,FALSE)</f>
        <v>Nominal</v>
      </c>
      <c r="F1270" s="45" t="s">
        <v>1801</v>
      </c>
      <c r="G1270" s="45" t="s">
        <v>1801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3" t="str">
        <f>VLOOKUP(A1271,Meta.Features!$A:$K,$E$1,FALSE)</f>
        <v>Nominal</v>
      </c>
      <c r="F1271" s="45" t="s">
        <v>1850</v>
      </c>
      <c r="G1271" s="45" t="s">
        <v>1850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3" t="str">
        <f>VLOOKUP(A1272,Meta.Features!$A:$K,$E$1,FALSE)</f>
        <v>Nominal</v>
      </c>
      <c r="F1272" s="45" t="s">
        <v>1784</v>
      </c>
      <c r="G1272" s="45" t="s">
        <v>1784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3" t="str">
        <f>VLOOKUP(A1273,Meta.Features!$A:$K,$E$1,FALSE)</f>
        <v>Nominal</v>
      </c>
      <c r="F1273" s="45" t="s">
        <v>2025</v>
      </c>
      <c r="G1273" s="45" t="s">
        <v>2025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3" t="str">
        <f>VLOOKUP(A1274,Meta.Features!$A:$K,$E$1,FALSE)</f>
        <v>Nominal</v>
      </c>
      <c r="F1274" s="45" t="s">
        <v>1643</v>
      </c>
      <c r="G1274" s="45" t="s">
        <v>1643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3" t="str">
        <f>VLOOKUP(A1275,Meta.Features!$A:$K,$E$1,FALSE)</f>
        <v>Nominal</v>
      </c>
      <c r="F1275" s="45" t="s">
        <v>1701</v>
      </c>
      <c r="G1275" s="45" t="s">
        <v>1701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3" t="str">
        <f>VLOOKUP(A1276,Meta.Features!$A:$K,$E$1,FALSE)</f>
        <v>Nominal</v>
      </c>
      <c r="F1276" s="45" t="s">
        <v>2132</v>
      </c>
      <c r="G1276" s="45" t="s">
        <v>2132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3" t="str">
        <f>VLOOKUP(A1277,Meta.Features!$A:$K,$E$1,FALSE)</f>
        <v>Nominal</v>
      </c>
      <c r="F1277" s="45" t="s">
        <v>1760</v>
      </c>
      <c r="G1277" s="45" t="s">
        <v>1760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3" t="str">
        <f>VLOOKUP(A1278,Meta.Features!$A:$K,$E$1,FALSE)</f>
        <v>Nominal</v>
      </c>
      <c r="F1278" s="45" t="s">
        <v>1704</v>
      </c>
      <c r="G1278" s="45" t="s">
        <v>1704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3" t="str">
        <f>VLOOKUP(A1279,Meta.Features!$A:$K,$E$1,FALSE)</f>
        <v>Nominal</v>
      </c>
      <c r="F1279" s="45" t="s">
        <v>2035</v>
      </c>
      <c r="G1279" s="45" t="s">
        <v>2035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3" t="str">
        <f>VLOOKUP(A1280,Meta.Features!$A:$K,$E$1,FALSE)</f>
        <v>Nominal</v>
      </c>
      <c r="F1280" s="45" t="s">
        <v>1706</v>
      </c>
      <c r="G1280" s="45" t="s">
        <v>1706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3" t="str">
        <f>VLOOKUP(A1281,Meta.Features!$A:$K,$E$1,FALSE)</f>
        <v>Nominal</v>
      </c>
      <c r="F1281" s="45" t="s">
        <v>1920</v>
      </c>
      <c r="G1281" s="45" t="s">
        <v>1920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3" t="str">
        <f>VLOOKUP(A1282,Meta.Features!$A:$K,$E$1,FALSE)</f>
        <v>Nominal</v>
      </c>
      <c r="F1282" s="45" t="s">
        <v>1836</v>
      </c>
      <c r="G1282" s="45" t="s">
        <v>1836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3" t="str">
        <f>VLOOKUP(A1283,Meta.Features!$A:$K,$E$1,FALSE)</f>
        <v>Nominal</v>
      </c>
      <c r="F1283" s="45" t="s">
        <v>2026</v>
      </c>
      <c r="G1283" s="45" t="s">
        <v>2026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3" t="str">
        <f>VLOOKUP(A1284,Meta.Features!$A:$K,$E$1,FALSE)</f>
        <v>Nominal</v>
      </c>
      <c r="F1284" s="45" t="s">
        <v>2027</v>
      </c>
      <c r="G1284" s="45" t="s">
        <v>2027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3" t="str">
        <f>VLOOKUP(A1285,Meta.Features!$A:$K,$E$1,FALSE)</f>
        <v>Nominal</v>
      </c>
      <c r="F1285" s="45" t="s">
        <v>1934</v>
      </c>
      <c r="G1285" s="45" t="s">
        <v>1934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3" t="str">
        <f>VLOOKUP(A1286,Meta.Features!$A:$K,$E$1,FALSE)</f>
        <v>Nominal</v>
      </c>
      <c r="F1286" s="45" t="s">
        <v>1857</v>
      </c>
      <c r="G1286" s="45" t="s">
        <v>1857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3" t="str">
        <f>VLOOKUP(A1287,Meta.Features!$A:$K,$E$1,FALSE)</f>
        <v>Nominal</v>
      </c>
      <c r="F1287" s="45" t="s">
        <v>2133</v>
      </c>
      <c r="G1287" s="45" t="s">
        <v>2133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3" t="str">
        <f>VLOOKUP(A1288,Meta.Features!$A:$K,$E$1,FALSE)</f>
        <v>Nominal</v>
      </c>
      <c r="F1288" s="45" t="s">
        <v>1713</v>
      </c>
      <c r="G1288" s="45" t="s">
        <v>1713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3" t="str">
        <f>VLOOKUP(A1289,Meta.Features!$A:$K,$E$1,FALSE)</f>
        <v>Nominal</v>
      </c>
      <c r="F1289" s="45" t="s">
        <v>2098</v>
      </c>
      <c r="G1289" s="45" t="s">
        <v>2098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3" t="str">
        <f>VLOOKUP(A1290,Meta.Features!$A:$K,$E$1,FALSE)</f>
        <v>Nominal</v>
      </c>
      <c r="F1290" s="45" t="s">
        <v>1859</v>
      </c>
      <c r="G1290" s="45" t="s">
        <v>1859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3" t="str">
        <f>VLOOKUP(A1291,Meta.Features!$A:$K,$E$1,FALSE)</f>
        <v>Nominal</v>
      </c>
      <c r="F1291" s="45" t="s">
        <v>1649</v>
      </c>
      <c r="G1291" s="45" t="s">
        <v>1649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3" t="str">
        <f>VLOOKUP(A1292,Meta.Features!$A:$K,$E$1,FALSE)</f>
        <v>Nominal</v>
      </c>
      <c r="F1292" s="45" t="s">
        <v>1790</v>
      </c>
      <c r="G1292" s="45" t="s">
        <v>1790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3" t="str">
        <f>VLOOKUP(A1293,Meta.Features!$A:$K,$E$1,FALSE)</f>
        <v>Nominal</v>
      </c>
      <c r="F1293" s="45" t="s">
        <v>1624</v>
      </c>
      <c r="G1293" s="45" t="s">
        <v>1624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3" t="str">
        <f>VLOOKUP(A1294,Meta.Features!$A:$K,$E$1,FALSE)</f>
        <v>Nominal</v>
      </c>
      <c r="F1294" s="45" t="s">
        <v>2260</v>
      </c>
      <c r="G1294" s="45" t="s">
        <v>2260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3" t="str">
        <f>VLOOKUP(A1295,Meta.Features!$A:$K,$E$1,FALSE)</f>
        <v>Nominal</v>
      </c>
      <c r="F1295" s="45" t="s">
        <v>1858</v>
      </c>
      <c r="G1295" s="45" t="s">
        <v>1858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3" t="str">
        <f>VLOOKUP(A1296,Meta.Features!$A:$K,$E$1,FALSE)</f>
        <v>Nominal</v>
      </c>
      <c r="F1296" s="45" t="s">
        <v>1816</v>
      </c>
      <c r="G1296" s="45" t="s">
        <v>1816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3" t="str">
        <f>VLOOKUP(A1297,Meta.Features!$A:$K,$E$1,FALSE)</f>
        <v>Nominal</v>
      </c>
      <c r="F1297" s="45" t="s">
        <v>1852</v>
      </c>
      <c r="G1297" s="45" t="s">
        <v>1852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3" t="str">
        <f>VLOOKUP(A1298,Meta.Features!$A:$K,$E$1,FALSE)</f>
        <v>Nominal</v>
      </c>
      <c r="F1298" s="45" t="s">
        <v>1780</v>
      </c>
      <c r="G1298" s="45" t="s">
        <v>1780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3" t="str">
        <f>VLOOKUP(A1299,Meta.Features!$A:$K,$E$1,FALSE)</f>
        <v>Nominal</v>
      </c>
      <c r="F1299" s="45" t="s">
        <v>1647</v>
      </c>
      <c r="G1299" s="45" t="s">
        <v>1647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3" t="str">
        <f>VLOOKUP(A1300,Meta.Features!$A:$K,$E$1,FALSE)</f>
        <v>Nominal</v>
      </c>
      <c r="F1300" s="45" t="s">
        <v>1822</v>
      </c>
      <c r="G1300" s="45" t="s">
        <v>1822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3" t="str">
        <f>VLOOKUP(A1301,Meta.Features!$A:$K,$E$1,FALSE)</f>
        <v>Nominal</v>
      </c>
      <c r="F1301" s="45" t="s">
        <v>1639</v>
      </c>
      <c r="G1301" s="45" t="s">
        <v>1639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3" t="str">
        <f>VLOOKUP(A1302,Meta.Features!$A:$K,$E$1,FALSE)</f>
        <v>Nominal</v>
      </c>
      <c r="F1302" s="45" t="s">
        <v>2122</v>
      </c>
      <c r="G1302" s="45" t="s">
        <v>2122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3" t="str">
        <f>VLOOKUP(A1303,Meta.Features!$A:$K,$E$1,FALSE)</f>
        <v>Nominal</v>
      </c>
      <c r="F1303" s="45" t="s">
        <v>1774</v>
      </c>
      <c r="G1303" s="45" t="s">
        <v>1774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3" t="str">
        <f>VLOOKUP(A1304,Meta.Features!$A:$K,$E$1,FALSE)</f>
        <v>Nominal</v>
      </c>
      <c r="F1304" s="45" t="s">
        <v>1967</v>
      </c>
      <c r="G1304" s="45" t="s">
        <v>1967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3" t="str">
        <f>VLOOKUP(A1305,Meta.Features!$A:$K,$E$1,FALSE)</f>
        <v>Nominal</v>
      </c>
      <c r="F1305" s="45" t="s">
        <v>1818</v>
      </c>
      <c r="G1305" s="45" t="s">
        <v>1818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3" t="str">
        <f>VLOOKUP(A1306,Meta.Features!$A:$K,$E$1,FALSE)</f>
        <v>Nominal</v>
      </c>
      <c r="F1306" s="45" t="s">
        <v>1739</v>
      </c>
      <c r="G1306" s="45" t="s">
        <v>1739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3" t="str">
        <f>VLOOKUP(A1307,Meta.Features!$A:$K,$E$1,FALSE)</f>
        <v>Nominal</v>
      </c>
      <c r="F1307" s="45" t="s">
        <v>1743</v>
      </c>
      <c r="G1307" s="45" t="s">
        <v>1743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3" t="str">
        <f>VLOOKUP(A1308,Meta.Features!$A:$K,$E$1,FALSE)</f>
        <v>Nominal</v>
      </c>
      <c r="F1308" s="45" t="s">
        <v>2071</v>
      </c>
      <c r="G1308" s="45" t="s">
        <v>2071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3" t="str">
        <f>VLOOKUP(A1309,Meta.Features!$A:$K,$E$1,FALSE)</f>
        <v>Nominal</v>
      </c>
      <c r="F1309" s="45" t="s">
        <v>1787</v>
      </c>
      <c r="G1309" s="45" t="s">
        <v>1787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3" t="str">
        <f>VLOOKUP(A1310,Meta.Features!$A:$K,$E$1,FALSE)</f>
        <v>Nominal</v>
      </c>
      <c r="F1310" s="45" t="s">
        <v>2084</v>
      </c>
      <c r="G1310" s="45" t="s">
        <v>2084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3" t="str">
        <f>VLOOKUP(A1311,Meta.Features!$A:$K,$E$1,FALSE)</f>
        <v>Nominal</v>
      </c>
      <c r="F1311" s="45" t="s">
        <v>2106</v>
      </c>
      <c r="G1311" s="45" t="s">
        <v>2106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3" t="str">
        <f>VLOOKUP(A1312,Meta.Features!$A:$K,$E$1,FALSE)</f>
        <v>Nominal</v>
      </c>
      <c r="F1312" s="45" t="s">
        <v>1793</v>
      </c>
      <c r="G1312" s="45" t="s">
        <v>1793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3" t="str">
        <f>VLOOKUP(A1313,Meta.Features!$A:$K,$E$1,FALSE)</f>
        <v>Nominal</v>
      </c>
      <c r="F1313" s="45" t="s">
        <v>1719</v>
      </c>
      <c r="G1313" s="45" t="s">
        <v>1719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3" t="str">
        <f>VLOOKUP(A1314,Meta.Features!$A:$K,$E$1,FALSE)</f>
        <v>Nominal</v>
      </c>
      <c r="F1314" s="45" t="s">
        <v>1873</v>
      </c>
      <c r="G1314" s="45" t="s">
        <v>1873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3" t="str">
        <f>VLOOKUP(A1315,Meta.Features!$A:$K,$E$1,FALSE)</f>
        <v>Nominal</v>
      </c>
      <c r="F1315" s="45" t="s">
        <v>1994</v>
      </c>
      <c r="G1315" s="45" t="s">
        <v>1994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3" t="str">
        <f>VLOOKUP(A1316,Meta.Features!$A:$K,$E$1,FALSE)</f>
        <v>Nominal</v>
      </c>
      <c r="F1316" s="45" t="s">
        <v>2022</v>
      </c>
      <c r="G1316" s="45" t="s">
        <v>2022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3" t="str">
        <f>VLOOKUP(A1317,Meta.Features!$A:$K,$E$1,FALSE)</f>
        <v>Nominal</v>
      </c>
      <c r="F1317" s="45" t="s">
        <v>1882</v>
      </c>
      <c r="G1317" s="45" t="s">
        <v>1882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3" t="str">
        <f>VLOOKUP(A1318,Meta.Features!$A:$K,$E$1,FALSE)</f>
        <v>Nominal</v>
      </c>
      <c r="F1318" s="45" t="s">
        <v>1748</v>
      </c>
      <c r="G1318" s="45" t="s">
        <v>1748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3" t="str">
        <f>VLOOKUP(A1319,Meta.Features!$A:$K,$E$1,FALSE)</f>
        <v>Nominal</v>
      </c>
      <c r="F1319" s="45" t="s">
        <v>1841</v>
      </c>
      <c r="G1319" s="45" t="s">
        <v>1841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3" t="str">
        <f>VLOOKUP(A1320,Meta.Features!$A:$K,$E$1,FALSE)</f>
        <v>Nominal</v>
      </c>
      <c r="F1320" s="45" t="s">
        <v>1839</v>
      </c>
      <c r="G1320" s="45" t="s">
        <v>1839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3" t="str">
        <f>VLOOKUP(A1321,Meta.Features!$A:$K,$E$1,FALSE)</f>
        <v>Nominal</v>
      </c>
      <c r="F1321" s="45" t="s">
        <v>1996</v>
      </c>
      <c r="G1321" s="45" t="s">
        <v>1996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3" t="str">
        <f>VLOOKUP(A1322,Meta.Features!$A:$K,$E$1,FALSE)</f>
        <v>Nominal</v>
      </c>
      <c r="F1322" s="45" t="s">
        <v>1971</v>
      </c>
      <c r="G1322" s="45" t="s">
        <v>1971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3" t="str">
        <f>VLOOKUP(A1323,Meta.Features!$A:$K,$E$1,FALSE)</f>
        <v>Nominal</v>
      </c>
      <c r="F1323" s="45" t="s">
        <v>2080</v>
      </c>
      <c r="G1323" s="45" t="s">
        <v>2080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3" t="str">
        <f>VLOOKUP(A1324,Meta.Features!$A:$K,$E$1,FALSE)</f>
        <v>Nominal</v>
      </c>
      <c r="F1324" s="45" t="s">
        <v>2085</v>
      </c>
      <c r="G1324" s="45" t="s">
        <v>2085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3" t="str">
        <f>VLOOKUP(A1325,Meta.Features!$A:$K,$E$1,FALSE)</f>
        <v>Nominal</v>
      </c>
      <c r="F1325" s="45" t="s">
        <v>1856</v>
      </c>
      <c r="G1325" s="45" t="s">
        <v>1856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3" t="str">
        <f>VLOOKUP(A1326,Meta.Features!$A:$K,$E$1,FALSE)</f>
        <v>Nominal</v>
      </c>
      <c r="F1326" s="45" t="s">
        <v>2076</v>
      </c>
      <c r="G1326" s="45" t="s">
        <v>2076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3" t="str">
        <f>VLOOKUP(A1327,Meta.Features!$A:$K,$E$1,FALSE)</f>
        <v>Nominal</v>
      </c>
      <c r="F1327" s="45" t="s">
        <v>1924</v>
      </c>
      <c r="G1327" s="45" t="s">
        <v>1924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3" t="str">
        <f>VLOOKUP(A1328,Meta.Features!$A:$K,$E$1,FALSE)</f>
        <v>Nominal</v>
      </c>
      <c r="F1328" s="45" t="s">
        <v>1789</v>
      </c>
      <c r="G1328" s="45" t="s">
        <v>1789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3" t="str">
        <f>VLOOKUP(A1329,Meta.Features!$A:$K,$E$1,FALSE)</f>
        <v>Nominal</v>
      </c>
      <c r="F1329" s="45" t="s">
        <v>1737</v>
      </c>
      <c r="G1329" s="45" t="s">
        <v>1737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3" t="str">
        <f>VLOOKUP(A1330,Meta.Features!$A:$K,$E$1,FALSE)</f>
        <v>Nominal</v>
      </c>
      <c r="F1330" s="45" t="s">
        <v>1635</v>
      </c>
      <c r="G1330" s="45" t="s">
        <v>1635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3" t="str">
        <f>VLOOKUP(A1331,Meta.Features!$A:$K,$E$1,FALSE)</f>
        <v>Nominal</v>
      </c>
      <c r="F1331" s="45" t="s">
        <v>1820</v>
      </c>
      <c r="G1331" s="45" t="s">
        <v>1820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3" t="str">
        <f>VLOOKUP(A1332,Meta.Features!$A:$K,$E$1,FALSE)</f>
        <v>Nominal</v>
      </c>
      <c r="F1332" s="45" t="s">
        <v>2077</v>
      </c>
      <c r="G1332" s="45" t="s">
        <v>2077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3" t="str">
        <f>VLOOKUP(A1333,Meta.Features!$A:$K,$E$1,FALSE)</f>
        <v>Nominal</v>
      </c>
      <c r="F1333" s="45" t="s">
        <v>2097</v>
      </c>
      <c r="G1333" s="45" t="s">
        <v>2097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3" t="str">
        <f>VLOOKUP(A1334,Meta.Features!$A:$K,$E$1,FALSE)</f>
        <v>Nominal</v>
      </c>
      <c r="F1334" s="45" t="s">
        <v>2036</v>
      </c>
      <c r="G1334" s="45" t="s">
        <v>2036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3" t="str">
        <f>VLOOKUP(A1335,Meta.Features!$A:$K,$E$1,FALSE)</f>
        <v>Nominal</v>
      </c>
      <c r="F1335" s="45" t="s">
        <v>1744</v>
      </c>
      <c r="G1335" s="45" t="s">
        <v>1744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3" t="str">
        <f>VLOOKUP(A1336,Meta.Features!$A:$K,$E$1,FALSE)</f>
        <v>Nominal</v>
      </c>
      <c r="F1336" s="45" t="s">
        <v>1744</v>
      </c>
      <c r="G1336" s="45" t="s">
        <v>1744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3" t="str">
        <f>VLOOKUP(A1337,Meta.Features!$A:$K,$E$1,FALSE)</f>
        <v>Nominal</v>
      </c>
      <c r="F1337" s="45" t="s">
        <v>2081</v>
      </c>
      <c r="G1337" s="45" t="s">
        <v>2081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3" t="str">
        <f>VLOOKUP(A1338,Meta.Features!$A:$K,$E$1,FALSE)</f>
        <v>Nominal</v>
      </c>
      <c r="F1338" s="45" t="s">
        <v>1887</v>
      </c>
      <c r="G1338" s="45" t="s">
        <v>1887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3" t="str">
        <f>VLOOKUP(A1339,Meta.Features!$A:$K,$E$1,FALSE)</f>
        <v>Nominal</v>
      </c>
      <c r="F1339" s="45" t="s">
        <v>1878</v>
      </c>
      <c r="G1339" s="45" t="s">
        <v>1878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3" t="str">
        <f>VLOOKUP(A1340,Meta.Features!$A:$K,$E$1,FALSE)</f>
        <v>Nominal</v>
      </c>
      <c r="F1340" s="45" t="s">
        <v>1771</v>
      </c>
      <c r="G1340" s="45" t="s">
        <v>1771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3" t="str">
        <f>VLOOKUP(A1341,Meta.Features!$A:$K,$E$1,FALSE)</f>
        <v>Nominal</v>
      </c>
      <c r="F1341" s="45" t="s">
        <v>1928</v>
      </c>
      <c r="G1341" s="45" t="s">
        <v>1928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3" t="str">
        <f>VLOOKUP(A1342,Meta.Features!$A:$K,$E$1,FALSE)</f>
        <v>Nominal</v>
      </c>
      <c r="F1342" s="45" t="s">
        <v>2088</v>
      </c>
      <c r="G1342" s="45" t="s">
        <v>2088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3" t="str">
        <f>VLOOKUP(A1343,Meta.Features!$A:$K,$E$1,FALSE)</f>
        <v>Nominal</v>
      </c>
      <c r="F1343" s="45" t="s">
        <v>1636</v>
      </c>
      <c r="G1343" s="45" t="s">
        <v>1636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3" t="str">
        <f>VLOOKUP(A1344,Meta.Features!$A:$K,$E$1,FALSE)</f>
        <v>Nominal</v>
      </c>
      <c r="F1344" s="45" t="s">
        <v>1819</v>
      </c>
      <c r="G1344" s="45" t="s">
        <v>1819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3" t="str">
        <f>VLOOKUP(A1345,Meta.Features!$A:$K,$E$1,FALSE)</f>
        <v>Nominal</v>
      </c>
      <c r="F1345" s="45" t="s">
        <v>1770</v>
      </c>
      <c r="G1345" s="45" t="s">
        <v>1770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3" t="str">
        <f>VLOOKUP(A1346,Meta.Features!$A:$K,$E$1,FALSE)</f>
        <v>Nominal</v>
      </c>
      <c r="F1346" s="45" t="s">
        <v>1791</v>
      </c>
      <c r="G1346" s="45" t="s">
        <v>1791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3" t="str">
        <f>VLOOKUP(A1347,Meta.Features!$A:$K,$E$1,FALSE)</f>
        <v>Nominal</v>
      </c>
      <c r="F1347" s="45" t="s">
        <v>2124</v>
      </c>
      <c r="G1347" s="45" t="s">
        <v>2124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3" t="str">
        <f>VLOOKUP(A1348,Meta.Features!$A:$K,$E$1,FALSE)</f>
        <v>Nominal</v>
      </c>
      <c r="F1348" s="45" t="s">
        <v>1895</v>
      </c>
      <c r="G1348" s="45" t="s">
        <v>1895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3" t="str">
        <f>VLOOKUP(A1349,Meta.Features!$A:$K,$E$1,FALSE)</f>
        <v>Nominal</v>
      </c>
      <c r="F1349" s="45" t="s">
        <v>2093</v>
      </c>
      <c r="G1349" s="45" t="s">
        <v>2093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3" t="str">
        <f>VLOOKUP(A1350,Meta.Features!$A:$K,$E$1,FALSE)</f>
        <v>Nominal</v>
      </c>
      <c r="F1350" s="45" t="s">
        <v>1834</v>
      </c>
      <c r="G1350" s="45" t="s">
        <v>1834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3" t="str">
        <f>VLOOKUP(A1351,Meta.Features!$A:$K,$E$1,FALSE)</f>
        <v>Nominal</v>
      </c>
      <c r="F1351" s="45" t="s">
        <v>1925</v>
      </c>
      <c r="G1351" s="45" t="s">
        <v>1925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3" t="str">
        <f>VLOOKUP(A1352,Meta.Features!$A:$K,$E$1,FALSE)</f>
        <v>Nominal</v>
      </c>
      <c r="F1352" s="45" t="s">
        <v>1883</v>
      </c>
      <c r="G1352" s="45" t="s">
        <v>1883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3" t="str">
        <f>VLOOKUP(A1353,Meta.Features!$A:$K,$E$1,FALSE)</f>
        <v>Nominal</v>
      </c>
      <c r="F1353" s="45" t="s">
        <v>1888</v>
      </c>
      <c r="G1353" s="45" t="s">
        <v>1888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3" t="str">
        <f>VLOOKUP(A1354,Meta.Features!$A:$K,$E$1,FALSE)</f>
        <v>Nominal</v>
      </c>
      <c r="F1354" s="45" t="s">
        <v>1849</v>
      </c>
      <c r="G1354" s="45" t="s">
        <v>1849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3" t="str">
        <f>VLOOKUP(A1355,Meta.Features!$A:$K,$E$1,FALSE)</f>
        <v>Nominal</v>
      </c>
      <c r="F1355" s="45" t="s">
        <v>1947</v>
      </c>
      <c r="G1355" s="45" t="s">
        <v>1947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3" t="str">
        <f>VLOOKUP(A1356,Meta.Features!$A:$K,$E$1,FALSE)</f>
        <v>Nominal</v>
      </c>
      <c r="F1356" s="45" t="s">
        <v>2030</v>
      </c>
      <c r="G1356" s="45" t="s">
        <v>2030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3" t="str">
        <f>VLOOKUP(A1357,Meta.Features!$A:$K,$E$1,FALSE)</f>
        <v>Nominal</v>
      </c>
      <c r="F1357" s="45" t="s">
        <v>1927</v>
      </c>
      <c r="G1357" s="45" t="s">
        <v>1927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3" t="str">
        <f>VLOOKUP(A1358,Meta.Features!$A:$K,$E$1,FALSE)</f>
        <v>Nominal</v>
      </c>
      <c r="F1358" s="45" t="s">
        <v>1930</v>
      </c>
      <c r="G1358" s="45" t="s">
        <v>1930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3" t="str">
        <f>VLOOKUP(A1359,Meta.Features!$A:$K,$E$1,FALSE)</f>
        <v>Nominal</v>
      </c>
      <c r="F1359" s="45" t="s">
        <v>1846</v>
      </c>
      <c r="G1359" s="45" t="s">
        <v>1846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3" t="str">
        <f>VLOOKUP(A1360,Meta.Features!$A:$K,$E$1,FALSE)</f>
        <v>Nominal</v>
      </c>
      <c r="F1360" s="45" t="s">
        <v>1658</v>
      </c>
      <c r="G1360" s="45" t="s">
        <v>1658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3" t="str">
        <f>VLOOKUP(A1361,Meta.Features!$A:$K,$E$1,FALSE)</f>
        <v>Nominal</v>
      </c>
      <c r="F1361" s="45" t="s">
        <v>1669</v>
      </c>
      <c r="G1361" s="45" t="s">
        <v>1669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3" t="str">
        <f>VLOOKUP(A1362,Meta.Features!$A:$K,$E$1,FALSE)</f>
        <v>Nominal</v>
      </c>
      <c r="F1362" s="45" t="s">
        <v>1670</v>
      </c>
      <c r="G1362" s="45" t="s">
        <v>1670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3" t="str">
        <f>VLOOKUP(A1363,Meta.Features!$A:$K,$E$1,FALSE)</f>
        <v>Nominal</v>
      </c>
      <c r="F1363" s="45" t="s">
        <v>1666</v>
      </c>
      <c r="G1363" s="45" t="s">
        <v>1666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3" t="str">
        <f>VLOOKUP(A1364,Meta.Features!$A:$K,$E$1,FALSE)</f>
        <v>Nominal</v>
      </c>
      <c r="F1364" s="45" t="s">
        <v>1862</v>
      </c>
      <c r="G1364" s="45" t="s">
        <v>1862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3" t="str">
        <f>VLOOKUP(A1365,Meta.Features!$A:$K,$E$1,FALSE)</f>
        <v>Nominal</v>
      </c>
      <c r="F1365" s="45" t="s">
        <v>1644</v>
      </c>
      <c r="G1365" s="45" t="s">
        <v>1644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3" t="str">
        <f>VLOOKUP(A1366,Meta.Features!$A:$K,$E$1,FALSE)</f>
        <v>Nominal</v>
      </c>
      <c r="F1366" s="45" t="s">
        <v>1741</v>
      </c>
      <c r="G1366" s="45" t="s">
        <v>1741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3" t="str">
        <f>VLOOKUP(A1367,Meta.Features!$A:$K,$E$1,FALSE)</f>
        <v>Nominal</v>
      </c>
      <c r="F1367" s="45" t="s">
        <v>1678</v>
      </c>
      <c r="G1367" s="45" t="s">
        <v>1678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3" t="str">
        <f>VLOOKUP(A1368,Meta.Features!$A:$K,$E$1,FALSE)</f>
        <v>Nominal</v>
      </c>
      <c r="F1368" s="45" t="s">
        <v>1788</v>
      </c>
      <c r="G1368" s="45" t="s">
        <v>1788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3" t="str">
        <f>VLOOKUP(A1369,Meta.Features!$A:$K,$E$1,FALSE)</f>
        <v>Nominal</v>
      </c>
      <c r="F1369" s="45" t="s">
        <v>2118</v>
      </c>
      <c r="G1369" s="45" t="s">
        <v>2118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3" t="str">
        <f>VLOOKUP(A1370,Meta.Features!$A:$K,$E$1,FALSE)</f>
        <v>Nominal</v>
      </c>
      <c r="F1370" s="45" t="s">
        <v>2128</v>
      </c>
      <c r="G1370" s="45" t="s">
        <v>2128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3" t="str">
        <f>VLOOKUP(A1371,Meta.Features!$A:$K,$E$1,FALSE)</f>
        <v>Nominal</v>
      </c>
      <c r="F1371" s="45" t="s">
        <v>1963</v>
      </c>
      <c r="G1371" s="45" t="s">
        <v>1963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3" t="str">
        <f>VLOOKUP(A1372,Meta.Features!$A:$K,$E$1,FALSE)</f>
        <v>Nominal</v>
      </c>
      <c r="F1372" s="45" t="s">
        <v>2130</v>
      </c>
      <c r="G1372" s="45" t="s">
        <v>2130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3" t="str">
        <f>VLOOKUP(A1373,Meta.Features!$A:$K,$E$1,FALSE)</f>
        <v>Nominal</v>
      </c>
      <c r="F1373" s="45" t="s">
        <v>1630</v>
      </c>
      <c r="G1373" s="45" t="s">
        <v>1630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3" t="str">
        <f>VLOOKUP(A1374,Meta.Features!$A:$K,$E$1,FALSE)</f>
        <v>Nominal</v>
      </c>
      <c r="F1374" s="45" t="s">
        <v>2028</v>
      </c>
      <c r="G1374" s="45" t="s">
        <v>2028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3" t="str">
        <f>VLOOKUP(A1375,Meta.Features!$A:$K,$E$1,FALSE)</f>
        <v>Nominal</v>
      </c>
      <c r="F1375" s="45" t="s">
        <v>2044</v>
      </c>
      <c r="G1375" s="45" t="s">
        <v>2044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3" t="str">
        <f>VLOOKUP(A1376,Meta.Features!$A:$K,$E$1,FALSE)</f>
        <v>Nominal</v>
      </c>
      <c r="F1376" s="45" t="s">
        <v>1907</v>
      </c>
      <c r="G1376" s="45" t="s">
        <v>1907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3" t="str">
        <f>VLOOKUP(A1377,Meta.Features!$A:$K,$E$1,FALSE)</f>
        <v>Nominal</v>
      </c>
      <c r="F1377" s="45" t="s">
        <v>2083</v>
      </c>
      <c r="G1377" s="45" t="s">
        <v>2083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3" t="str">
        <f>VLOOKUP(A1378,Meta.Features!$A:$K,$E$1,FALSE)</f>
        <v>Nominal</v>
      </c>
      <c r="F1378" s="45" t="s">
        <v>1651</v>
      </c>
      <c r="G1378" s="45" t="s">
        <v>1651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3" t="str">
        <f>VLOOKUP(A1379,Meta.Features!$A:$K,$E$1,FALSE)</f>
        <v>Nominal</v>
      </c>
      <c r="F1379" s="45" t="s">
        <v>1890</v>
      </c>
      <c r="G1379" s="45" t="s">
        <v>1890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3" t="str">
        <f>VLOOKUP(A1380,Meta.Features!$A:$K,$E$1,FALSE)</f>
        <v>Nominal</v>
      </c>
      <c r="F1380" s="45" t="s">
        <v>1817</v>
      </c>
      <c r="G1380" s="45" t="s">
        <v>1817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3" t="str">
        <f>VLOOKUP(A1381,Meta.Features!$A:$K,$E$1,FALSE)</f>
        <v>Nominal</v>
      </c>
      <c r="F1381" s="45" t="s">
        <v>1845</v>
      </c>
      <c r="G1381" s="45" t="s">
        <v>1845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3" t="str">
        <f>VLOOKUP(A1382,Meta.Features!$A:$K,$E$1,FALSE)</f>
        <v>Nominal</v>
      </c>
      <c r="F1382" s="45" t="s">
        <v>1754</v>
      </c>
      <c r="G1382" s="45" t="s">
        <v>1754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3" t="str">
        <f>VLOOKUP(A1383,Meta.Features!$A:$K,$E$1,FALSE)</f>
        <v>Nominal</v>
      </c>
      <c r="F1383" s="45" t="s">
        <v>2073</v>
      </c>
      <c r="G1383" s="45" t="s">
        <v>2073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3" t="str">
        <f>VLOOKUP(A1384,Meta.Features!$A:$K,$E$1,FALSE)</f>
        <v>Nominal</v>
      </c>
      <c r="F1384" s="45" t="s">
        <v>2099</v>
      </c>
      <c r="G1384" s="45" t="s">
        <v>2099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3" t="str">
        <f>VLOOKUP(A1385,Meta.Features!$A:$K,$E$1,FALSE)</f>
        <v>Nominal</v>
      </c>
      <c r="F1385" s="45" t="s">
        <v>1685</v>
      </c>
      <c r="G1385" s="45" t="s">
        <v>1685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3" t="str">
        <f>VLOOKUP(A1386,Meta.Features!$A:$K,$E$1,FALSE)</f>
        <v>Nominal</v>
      </c>
      <c r="F1386" s="45" t="s">
        <v>1948</v>
      </c>
      <c r="G1386" s="45" t="s">
        <v>1948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3" t="str">
        <f>VLOOKUP(A1387,Meta.Features!$A:$K,$E$1,FALSE)</f>
        <v>Nominal</v>
      </c>
      <c r="F1387" s="45" t="s">
        <v>1692</v>
      </c>
      <c r="G1387" s="45" t="s">
        <v>1692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3" t="str">
        <f>VLOOKUP(A1388,Meta.Features!$A:$K,$E$1,FALSE)</f>
        <v>Nominal</v>
      </c>
      <c r="F1388" s="45" t="s">
        <v>1734</v>
      </c>
      <c r="G1388" s="45" t="s">
        <v>1734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3" t="str">
        <f>VLOOKUP(A1389,Meta.Features!$A:$K,$E$1,FALSE)</f>
        <v>Nominal</v>
      </c>
      <c r="F1389" s="45" t="s">
        <v>1800</v>
      </c>
      <c r="G1389" s="45" t="s">
        <v>1800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3" t="str">
        <f>VLOOKUP(A1390,Meta.Features!$A:$K,$E$1,FALSE)</f>
        <v>Nominal</v>
      </c>
      <c r="F1390" s="45" t="s">
        <v>1803</v>
      </c>
      <c r="G1390" s="45" t="s">
        <v>1803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3" t="str">
        <f>VLOOKUP(A1391,Meta.Features!$A:$K,$E$1,FALSE)</f>
        <v>Nominal</v>
      </c>
      <c r="F1391" s="45" t="s">
        <v>1804</v>
      </c>
      <c r="G1391" s="45" t="s">
        <v>1804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3" t="str">
        <f>VLOOKUP(A1392,Meta.Features!$A:$K,$E$1,FALSE)</f>
        <v>Nominal</v>
      </c>
      <c r="F1392" s="45" t="s">
        <v>1802</v>
      </c>
      <c r="G1392" s="45" t="s">
        <v>1802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3" t="str">
        <f>VLOOKUP(A1393,Meta.Features!$A:$K,$E$1,FALSE)</f>
        <v>Nominal</v>
      </c>
      <c r="F1393" s="45" t="s">
        <v>1842</v>
      </c>
      <c r="G1393" s="45" t="s">
        <v>1842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3" t="str">
        <f>VLOOKUP(A1394,Meta.Features!$A:$K,$E$1,FALSE)</f>
        <v>Nominal</v>
      </c>
      <c r="F1394" s="45" t="s">
        <v>1628</v>
      </c>
      <c r="G1394" s="45" t="s">
        <v>1628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3" t="str">
        <f>VLOOKUP(A1395,Meta.Features!$A:$K,$E$1,FALSE)</f>
        <v>Nominal</v>
      </c>
      <c r="F1395" s="45" t="s">
        <v>1866</v>
      </c>
      <c r="G1395" s="45" t="s">
        <v>1866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3" t="str">
        <f>VLOOKUP(A1396,Meta.Features!$A:$K,$E$1,FALSE)</f>
        <v>Nominal</v>
      </c>
      <c r="F1396" s="45" t="s">
        <v>1631</v>
      </c>
      <c r="G1396" s="45" t="s">
        <v>1631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3" t="str">
        <f>VLOOKUP(A1397,Meta.Features!$A:$K,$E$1,FALSE)</f>
        <v>Nominal</v>
      </c>
      <c r="F1397" s="45" t="s">
        <v>1668</v>
      </c>
      <c r="G1397" s="45" t="s">
        <v>1668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3" t="str">
        <f>VLOOKUP(A1398,Meta.Features!$A:$K,$E$1,FALSE)</f>
        <v>Nominal</v>
      </c>
      <c r="F1398" s="45" t="s">
        <v>1944</v>
      </c>
      <c r="G1398" s="45" t="s">
        <v>1944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3" t="str">
        <f>VLOOKUP(A1399,Meta.Features!$A:$K,$E$1,FALSE)</f>
        <v>Nominal</v>
      </c>
      <c r="F1399" s="45" t="s">
        <v>1623</v>
      </c>
      <c r="G1399" s="45" t="s">
        <v>1623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3" t="str">
        <f>VLOOKUP(A1400,Meta.Features!$A:$K,$E$1,FALSE)</f>
        <v>Nominal</v>
      </c>
      <c r="F1400" s="45" t="s">
        <v>1747</v>
      </c>
      <c r="G1400" s="45" t="s">
        <v>1747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3" t="str">
        <f>VLOOKUP(A1401,Meta.Features!$A:$K,$E$1,FALSE)</f>
        <v>Nominal</v>
      </c>
      <c r="F1401" s="45" t="s">
        <v>2119</v>
      </c>
      <c r="G1401" s="45" t="s">
        <v>2119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3" t="str">
        <f>VLOOKUP(A1402,Meta.Features!$A:$K,$E$1,FALSE)</f>
        <v>Nominal</v>
      </c>
      <c r="F1402" s="45" t="s">
        <v>1792</v>
      </c>
      <c r="G1402" s="45" t="s">
        <v>1792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3" t="str">
        <f>VLOOKUP(A1403,Meta.Features!$A:$K,$E$1,FALSE)</f>
        <v>Nominal</v>
      </c>
      <c r="F1403" s="45" t="s">
        <v>2101</v>
      </c>
      <c r="G1403" s="45" t="s">
        <v>2101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3" t="str">
        <f>VLOOKUP(A1404,Meta.Features!$A:$K,$E$1,FALSE)</f>
        <v>Nominal</v>
      </c>
      <c r="F1404" s="45" t="s">
        <v>1640</v>
      </c>
      <c r="G1404" s="45" t="s">
        <v>1640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3" t="str">
        <f>VLOOKUP(A1405,Meta.Features!$A:$K,$E$1,FALSE)</f>
        <v>Nominal</v>
      </c>
      <c r="F1405" s="45" t="s">
        <v>2072</v>
      </c>
      <c r="G1405" s="45" t="s">
        <v>2072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3" t="str">
        <f>VLOOKUP(A1406,Meta.Features!$A:$K,$E$1,FALSE)</f>
        <v>Nominal</v>
      </c>
      <c r="F1406" s="45" t="s">
        <v>1702</v>
      </c>
      <c r="G1406" s="45" t="s">
        <v>1702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3" t="str">
        <f>VLOOKUP(A1407,Meta.Features!$A:$K,$E$1,FALSE)</f>
        <v>Nominal</v>
      </c>
      <c r="F1407" s="45" t="s">
        <v>1773</v>
      </c>
      <c r="G1407" s="45" t="s">
        <v>1773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3" t="str">
        <f>VLOOKUP(A1408,Meta.Features!$A:$K,$E$1,FALSE)</f>
        <v>Nominal</v>
      </c>
      <c r="F1408" s="45" t="s">
        <v>2111</v>
      </c>
      <c r="G1408" s="45" t="s">
        <v>2111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3" t="str">
        <f>VLOOKUP(A1409,Meta.Features!$A:$K,$E$1,FALSE)</f>
        <v>Nominal</v>
      </c>
      <c r="F1409" s="45" t="s">
        <v>1884</v>
      </c>
      <c r="G1409" s="45" t="s">
        <v>1884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3" t="str">
        <f>VLOOKUP(A1410,Meta.Features!$A:$K,$E$1,FALSE)</f>
        <v>Nominal</v>
      </c>
      <c r="F1410" s="45" t="s">
        <v>1726</v>
      </c>
      <c r="G1410" s="45" t="s">
        <v>1726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3" t="str">
        <f>VLOOKUP(A1411,Meta.Features!$A:$K,$E$1,FALSE)</f>
        <v>Nominal</v>
      </c>
      <c r="F1411" s="45" t="s">
        <v>1918</v>
      </c>
      <c r="G1411" s="45" t="s">
        <v>1918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3" t="str">
        <f>VLOOKUP(A1412,Meta.Features!$A:$K,$E$1,FALSE)</f>
        <v>Nominal</v>
      </c>
      <c r="F1412" s="45" t="s">
        <v>1690</v>
      </c>
      <c r="G1412" s="45" t="s">
        <v>1690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3" t="str">
        <f>VLOOKUP(A1413,Meta.Features!$A:$K,$E$1,FALSE)</f>
        <v>Nominal</v>
      </c>
      <c r="F1413" s="45" t="s">
        <v>2011</v>
      </c>
      <c r="G1413" s="45" t="s">
        <v>2011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3" t="str">
        <f>VLOOKUP(A1414,Meta.Features!$A:$K,$E$1,FALSE)</f>
        <v>Nominal</v>
      </c>
      <c r="F1414" s="45" t="s">
        <v>1671</v>
      </c>
      <c r="G1414" s="45" t="s">
        <v>1671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3" t="str">
        <f>VLOOKUP(A1415,Meta.Features!$A:$K,$E$1,FALSE)</f>
        <v>Nominal</v>
      </c>
      <c r="F1415" s="45" t="s">
        <v>1672</v>
      </c>
      <c r="G1415" s="45" t="s">
        <v>1672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3" t="str">
        <f>VLOOKUP(A1416,Meta.Features!$A:$K,$E$1,FALSE)</f>
        <v>Nominal</v>
      </c>
      <c r="F1416" s="45" t="s">
        <v>1673</v>
      </c>
      <c r="G1416" s="45" t="s">
        <v>1673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3" t="str">
        <f>VLOOKUP(A1417,Meta.Features!$A:$K,$E$1,FALSE)</f>
        <v>Nominal</v>
      </c>
      <c r="F1417" s="45" t="s">
        <v>1675</v>
      </c>
      <c r="G1417" s="45" t="s">
        <v>1675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3" t="str">
        <f>VLOOKUP(A1418,Meta.Features!$A:$K,$E$1,FALSE)</f>
        <v>Nominal</v>
      </c>
      <c r="F1418" s="45" t="s">
        <v>1674</v>
      </c>
      <c r="G1418" s="45" t="s">
        <v>1674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3" t="str">
        <f>VLOOKUP(A1419,Meta.Features!$A:$K,$E$1,FALSE)</f>
        <v>Nominal</v>
      </c>
      <c r="F1419" s="45" t="s">
        <v>1676</v>
      </c>
      <c r="G1419" s="45" t="s">
        <v>1676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3" t="str">
        <f>VLOOKUP(A1420,Meta.Features!$A:$K,$E$1,FALSE)</f>
        <v>Nominal</v>
      </c>
      <c r="F1420" s="45" t="s">
        <v>1877</v>
      </c>
      <c r="G1420" s="45" t="s">
        <v>1877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3" t="str">
        <f>VLOOKUP(A1421,Meta.Features!$A:$K,$E$1,FALSE)</f>
        <v>Nominal</v>
      </c>
      <c r="F1421" s="45" t="s">
        <v>2094</v>
      </c>
      <c r="G1421" s="45" t="s">
        <v>2094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3" t="str">
        <f>VLOOKUP(A1422,Meta.Features!$A:$K,$E$1,FALSE)</f>
        <v>Nominal</v>
      </c>
      <c r="F1422" s="45" t="s">
        <v>1872</v>
      </c>
      <c r="G1422" s="45" t="s">
        <v>1872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3" t="str">
        <f>VLOOKUP(A1423,Meta.Features!$A:$K,$E$1,FALSE)</f>
        <v>Nominal</v>
      </c>
      <c r="F1423" s="45" t="s">
        <v>1961</v>
      </c>
      <c r="G1423" s="45" t="s">
        <v>1961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3" t="str">
        <f>VLOOKUP(A1424,Meta.Features!$A:$K,$E$1,FALSE)</f>
        <v>Nominal</v>
      </c>
      <c r="F1424" s="45" t="s">
        <v>1919</v>
      </c>
      <c r="G1424" s="45" t="s">
        <v>1919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3" t="str">
        <f>VLOOKUP(A1425,Meta.Features!$A:$K,$E$1,FALSE)</f>
        <v>Nominal</v>
      </c>
      <c r="F1425" s="45" t="s">
        <v>1758</v>
      </c>
      <c r="G1425" s="45" t="s">
        <v>1758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3" t="str">
        <f>VLOOKUP(A1426,Meta.Features!$A:$K,$E$1,FALSE)</f>
        <v>Nominal</v>
      </c>
      <c r="F1426" s="45" t="s">
        <v>2126</v>
      </c>
      <c r="G1426" s="45" t="s">
        <v>2126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3" t="str">
        <f>VLOOKUP(A1427,Meta.Features!$A:$K,$E$1,FALSE)</f>
        <v>Nominal</v>
      </c>
      <c r="F1427" s="45" t="s">
        <v>1698</v>
      </c>
      <c r="G1427" s="45" t="s">
        <v>1698</v>
      </c>
      <c r="H1427" s="6"/>
    </row>
    <row r="1428" spans="1:10" ht="18" customHeight="1" x14ac:dyDescent="0.3">
      <c r="A1428" s="28">
        <v>130</v>
      </c>
      <c r="B1428" s="26" t="str">
        <f>VLOOKUP(A1428,Meta.Features!$A:$G,$B$1,FALSE)</f>
        <v>SystemicTherapy</v>
      </c>
      <c r="C1428" s="26" t="str">
        <f>VLOOKUP(A1428,Meta.Features!$A:$G,$C$1,FALSE)</f>
        <v>therapieart</v>
      </c>
      <c r="D1428" s="26" t="str">
        <f>VLOOKUP(A1428,Meta.Features!$A:$G,$D$1,FALSE)</f>
        <v>Type</v>
      </c>
      <c r="E1428" s="3" t="str">
        <f>VLOOKUP(A1428,Meta.Features!$A:$K,$E$1,FALSE)</f>
        <v>Nominal</v>
      </c>
      <c r="F1428" s="3" t="s">
        <v>842</v>
      </c>
      <c r="G1428" s="3" t="s">
        <v>842</v>
      </c>
      <c r="H1428" s="1" t="s">
        <v>843</v>
      </c>
      <c r="I1428" s="1" t="s">
        <v>843</v>
      </c>
      <c r="J1428" s="1"/>
    </row>
    <row r="1429" spans="1:10" ht="18" customHeight="1" x14ac:dyDescent="0.3">
      <c r="A1429" s="28">
        <v>130</v>
      </c>
      <c r="B1429" s="26" t="str">
        <f>VLOOKUP(A1429,Meta.Features!$A:$G,$B$1,FALSE)</f>
        <v>SystemicTherapy</v>
      </c>
      <c r="C1429" s="26" t="str">
        <f>VLOOKUP(A1429,Meta.Features!$A:$G,$C$1,FALSE)</f>
        <v>therapieart</v>
      </c>
      <c r="D1429" s="26" t="str">
        <f>VLOOKUP(A1429,Meta.Features!$A:$G,$D$1,FALSE)</f>
        <v>Type</v>
      </c>
      <c r="E1429" s="3" t="str">
        <f>VLOOKUP(A1429,Meta.Features!$A:$K,$E$1,FALSE)</f>
        <v>Nominal</v>
      </c>
      <c r="F1429" s="3" t="s">
        <v>844</v>
      </c>
      <c r="G1429" s="3" t="s">
        <v>844</v>
      </c>
      <c r="H1429" s="1" t="s">
        <v>845</v>
      </c>
      <c r="I1429" s="1" t="s">
        <v>845</v>
      </c>
      <c r="J1429" s="1"/>
    </row>
    <row r="1430" spans="1:10" ht="18" customHeight="1" x14ac:dyDescent="0.3">
      <c r="A1430" s="28">
        <v>130</v>
      </c>
      <c r="B1430" s="26" t="str">
        <f>VLOOKUP(A1430,Meta.Features!$A:$G,$B$1,FALSE)</f>
        <v>SystemicTherapy</v>
      </c>
      <c r="C1430" s="26" t="str">
        <f>VLOOKUP(A1430,Meta.Features!$A:$G,$C$1,FALSE)</f>
        <v>therapieart</v>
      </c>
      <c r="D1430" s="26" t="str">
        <f>VLOOKUP(A1430,Meta.Features!$A:$G,$D$1,FALSE)</f>
        <v>Type</v>
      </c>
      <c r="E1430" s="3" t="str">
        <f>VLOOKUP(A1430,Meta.Features!$A:$K,$E$1,FALSE)</f>
        <v>Nominal</v>
      </c>
      <c r="F1430" s="3" t="s">
        <v>846</v>
      </c>
      <c r="G1430" s="3" t="s">
        <v>846</v>
      </c>
      <c r="H1430" s="1" t="s">
        <v>847</v>
      </c>
      <c r="I1430" s="1" t="s">
        <v>847</v>
      </c>
      <c r="J1430" s="1"/>
    </row>
    <row r="1431" spans="1:10" ht="18" customHeight="1" x14ac:dyDescent="0.3">
      <c r="A1431" s="28">
        <v>130</v>
      </c>
      <c r="B1431" s="26" t="str">
        <f>VLOOKUP(A1431,Meta.Features!$A:$G,$B$1,FALSE)</f>
        <v>SystemicTherapy</v>
      </c>
      <c r="C1431" s="26" t="str">
        <f>VLOOKUP(A1431,Meta.Features!$A:$G,$C$1,FALSE)</f>
        <v>therapieart</v>
      </c>
      <c r="D1431" s="26" t="str">
        <f>VLOOKUP(A1431,Meta.Features!$A:$G,$D$1,FALSE)</f>
        <v>Type</v>
      </c>
      <c r="E1431" s="3" t="str">
        <f>VLOOKUP(A1431,Meta.Features!$A:$K,$E$1,FALSE)</f>
        <v>Nominal</v>
      </c>
      <c r="F1431" s="3" t="s">
        <v>848</v>
      </c>
      <c r="G1431" s="3" t="s">
        <v>848</v>
      </c>
      <c r="H1431" s="1" t="s">
        <v>849</v>
      </c>
      <c r="I1431" s="1" t="s">
        <v>849</v>
      </c>
      <c r="J1431" s="1"/>
    </row>
    <row r="1432" spans="1:10" ht="18" customHeight="1" x14ac:dyDescent="0.3">
      <c r="A1432" s="28">
        <v>130</v>
      </c>
      <c r="B1432" s="26" t="str">
        <f>VLOOKUP(A1432,Meta.Features!$A:$G,$B$1,FALSE)</f>
        <v>SystemicTherapy</v>
      </c>
      <c r="C1432" s="26" t="str">
        <f>VLOOKUP(A1432,Meta.Features!$A:$G,$C$1,FALSE)</f>
        <v>therapieart</v>
      </c>
      <c r="D1432" s="26" t="str">
        <f>VLOOKUP(A1432,Meta.Features!$A:$G,$D$1,FALSE)</f>
        <v>Type</v>
      </c>
      <c r="E1432" s="3" t="str">
        <f>VLOOKUP(A1432,Meta.Features!$A:$K,$E$1,FALSE)</f>
        <v>Nominal</v>
      </c>
      <c r="F1432" s="3" t="s">
        <v>850</v>
      </c>
      <c r="G1432" s="3" t="s">
        <v>850</v>
      </c>
      <c r="H1432" s="1" t="s">
        <v>851</v>
      </c>
      <c r="I1432" s="1" t="s">
        <v>851</v>
      </c>
      <c r="J1432" s="1"/>
    </row>
    <row r="1433" spans="1:10" ht="18" customHeight="1" x14ac:dyDescent="0.3">
      <c r="A1433" s="28">
        <v>130</v>
      </c>
      <c r="B1433" s="26" t="str">
        <f>VLOOKUP(A1433,Meta.Features!$A:$G,$B$1,FALSE)</f>
        <v>SystemicTherapy</v>
      </c>
      <c r="C1433" s="26" t="str">
        <f>VLOOKUP(A1433,Meta.Features!$A:$G,$C$1,FALSE)</f>
        <v>therapieart</v>
      </c>
      <c r="D1433" s="26" t="str">
        <f>VLOOKUP(A1433,Meta.Features!$A:$G,$D$1,FALSE)</f>
        <v>Type</v>
      </c>
      <c r="E1433" s="3" t="str">
        <f>VLOOKUP(A1433,Meta.Features!$A:$K,$E$1,FALSE)</f>
        <v>Nominal</v>
      </c>
      <c r="F1433" s="3" t="s">
        <v>852</v>
      </c>
      <c r="G1433" s="3" t="s">
        <v>852</v>
      </c>
      <c r="H1433" s="1" t="s">
        <v>853</v>
      </c>
      <c r="I1433" s="1" t="s">
        <v>853</v>
      </c>
      <c r="J1433" s="1"/>
    </row>
    <row r="1434" spans="1:10" ht="18" customHeight="1" x14ac:dyDescent="0.3">
      <c r="A1434" s="28">
        <v>130</v>
      </c>
      <c r="B1434" s="26" t="str">
        <f>VLOOKUP(A1434,Meta.Features!$A:$G,$B$1,FALSE)</f>
        <v>SystemicTherapy</v>
      </c>
      <c r="C1434" s="26" t="str">
        <f>VLOOKUP(A1434,Meta.Features!$A:$G,$C$1,FALSE)</f>
        <v>therapieart</v>
      </c>
      <c r="D1434" s="26" t="str">
        <f>VLOOKUP(A1434,Meta.Features!$A:$G,$D$1,FALSE)</f>
        <v>Type</v>
      </c>
      <c r="E1434" s="3" t="str">
        <f>VLOOKUP(A1434,Meta.Features!$A:$K,$E$1,FALSE)</f>
        <v>Nominal</v>
      </c>
      <c r="F1434" s="3" t="s">
        <v>854</v>
      </c>
      <c r="G1434" s="3" t="s">
        <v>854</v>
      </c>
      <c r="H1434" s="1" t="s">
        <v>855</v>
      </c>
      <c r="I1434" s="1" t="s">
        <v>855</v>
      </c>
      <c r="J1434" s="1"/>
    </row>
    <row r="1435" spans="1:10" ht="18" customHeight="1" x14ac:dyDescent="0.3">
      <c r="A1435" s="28">
        <v>130</v>
      </c>
      <c r="B1435" s="26" t="str">
        <f>VLOOKUP(A1435,Meta.Features!$A:$G,$B$1,FALSE)</f>
        <v>SystemicTherapy</v>
      </c>
      <c r="C1435" s="26" t="str">
        <f>VLOOKUP(A1435,Meta.Features!$A:$G,$C$1,FALSE)</f>
        <v>therapieart</v>
      </c>
      <c r="D1435" s="26" t="str">
        <f>VLOOKUP(A1435,Meta.Features!$A:$G,$D$1,FALSE)</f>
        <v>Type</v>
      </c>
      <c r="E1435" s="3" t="str">
        <f>VLOOKUP(A1435,Meta.Features!$A:$K,$E$1,FALSE)</f>
        <v>Nominal</v>
      </c>
      <c r="F1435" s="3" t="s">
        <v>825</v>
      </c>
      <c r="G1435" s="3" t="s">
        <v>825</v>
      </c>
      <c r="H1435" s="1" t="s">
        <v>580</v>
      </c>
      <c r="I1435" s="1" t="s">
        <v>580</v>
      </c>
      <c r="J1435" s="1"/>
    </row>
    <row r="1436" spans="1:10" ht="18" customHeight="1" x14ac:dyDescent="0.3">
      <c r="A1436" s="28">
        <v>130</v>
      </c>
      <c r="B1436" s="26" t="str">
        <f>VLOOKUP(A1436,Meta.Features!$A:$G,$B$1,FALSE)</f>
        <v>SystemicTherapy</v>
      </c>
      <c r="C1436" s="26" t="str">
        <f>VLOOKUP(A1436,Meta.Features!$A:$G,$C$1,FALSE)</f>
        <v>therapieart</v>
      </c>
      <c r="D1436" s="26" t="str">
        <f>VLOOKUP(A1436,Meta.Features!$A:$G,$D$1,FALSE)</f>
        <v>Type</v>
      </c>
      <c r="E1436" s="3" t="str">
        <f>VLOOKUP(A1436,Meta.Features!$A:$K,$E$1,FALSE)</f>
        <v>Nominal</v>
      </c>
      <c r="F1436" s="3" t="s">
        <v>585</v>
      </c>
      <c r="G1436" s="3" t="s">
        <v>585</v>
      </c>
      <c r="H1436" s="1" t="s">
        <v>856</v>
      </c>
      <c r="I1436" s="1" t="s">
        <v>856</v>
      </c>
      <c r="J1436" s="1"/>
    </row>
    <row r="1437" spans="1:10" ht="18" customHeight="1" x14ac:dyDescent="0.3">
      <c r="A1437" s="28">
        <v>130</v>
      </c>
      <c r="B1437" s="26" t="str">
        <f>VLOOKUP(A1437,Meta.Features!$A:$G,$B$1,FALSE)</f>
        <v>SystemicTherapy</v>
      </c>
      <c r="C1437" s="26" t="str">
        <f>VLOOKUP(A1437,Meta.Features!$A:$G,$C$1,FALSE)</f>
        <v>therapieart</v>
      </c>
      <c r="D1437" s="26" t="str">
        <f>VLOOKUP(A1437,Meta.Features!$A:$G,$D$1,FALSE)</f>
        <v>Type</v>
      </c>
      <c r="E1437" s="3" t="str">
        <f>VLOOKUP(A1437,Meta.Features!$A:$K,$E$1,FALSE)</f>
        <v>Nominal</v>
      </c>
      <c r="F1437" s="3" t="s">
        <v>857</v>
      </c>
      <c r="G1437" s="3" t="s">
        <v>857</v>
      </c>
      <c r="H1437" s="1" t="s">
        <v>858</v>
      </c>
      <c r="I1437" s="1" t="s">
        <v>858</v>
      </c>
      <c r="J1437" s="1"/>
    </row>
    <row r="1438" spans="1:10" ht="18" customHeight="1" x14ac:dyDescent="0.3">
      <c r="A1438" s="28">
        <v>130</v>
      </c>
      <c r="B1438" s="26" t="str">
        <f>VLOOKUP(A1438,Meta.Features!$A:$G,$B$1,FALSE)</f>
        <v>SystemicTherapy</v>
      </c>
      <c r="C1438" s="26" t="str">
        <f>VLOOKUP(A1438,Meta.Features!$A:$G,$C$1,FALSE)</f>
        <v>therapieart</v>
      </c>
      <c r="D1438" s="26" t="str">
        <f>VLOOKUP(A1438,Meta.Features!$A:$G,$D$1,FALSE)</f>
        <v>Type</v>
      </c>
      <c r="E1438" s="3" t="str">
        <f>VLOOKUP(A1438,Meta.Features!$A:$K,$E$1,FALSE)</f>
        <v>Nominal</v>
      </c>
      <c r="F1438" s="3" t="s">
        <v>859</v>
      </c>
      <c r="G1438" s="3" t="s">
        <v>859</v>
      </c>
      <c r="H1438" s="1" t="s">
        <v>860</v>
      </c>
      <c r="I1438" s="1" t="s">
        <v>860</v>
      </c>
      <c r="J1438" s="1"/>
    </row>
    <row r="1439" spans="1:10" ht="18" customHeight="1" x14ac:dyDescent="0.3">
      <c r="A1439" s="28">
        <v>130</v>
      </c>
      <c r="B1439" s="26" t="str">
        <f>VLOOKUP(A1439,Meta.Features!$A:$G,$B$1,FALSE)</f>
        <v>SystemicTherapy</v>
      </c>
      <c r="C1439" s="26" t="str">
        <f>VLOOKUP(A1439,Meta.Features!$A:$G,$C$1,FALSE)</f>
        <v>therapieart</v>
      </c>
      <c r="D1439" s="26" t="str">
        <f>VLOOKUP(A1439,Meta.Features!$A:$G,$D$1,FALSE)</f>
        <v>Type</v>
      </c>
      <c r="E1439" s="3" t="str">
        <f>VLOOKUP(A1439,Meta.Features!$A:$K,$E$1,FALSE)</f>
        <v>Nominal</v>
      </c>
      <c r="F1439" s="3" t="s">
        <v>2261</v>
      </c>
      <c r="G1439" s="3" t="s">
        <v>2261</v>
      </c>
      <c r="H1439" s="1" t="s">
        <v>2262</v>
      </c>
      <c r="I1439" s="1" t="s">
        <v>2262</v>
      </c>
      <c r="J1439" s="1"/>
    </row>
    <row r="1440" spans="1:10" ht="18" customHeight="1" x14ac:dyDescent="0.3">
      <c r="A1440" s="28">
        <v>130</v>
      </c>
      <c r="B1440" s="26" t="str">
        <f>VLOOKUP(A1440,Meta.Features!$A:$G,$B$1,FALSE)</f>
        <v>SystemicTherapy</v>
      </c>
      <c r="C1440" s="26" t="str">
        <f>VLOOKUP(A1440,Meta.Features!$A:$G,$C$1,FALSE)</f>
        <v>therapieart</v>
      </c>
      <c r="D1440" s="26" t="str">
        <f>VLOOKUP(A1440,Meta.Features!$A:$G,$D$1,FALSE)</f>
        <v>Type</v>
      </c>
      <c r="E1440" s="3" t="str">
        <f>VLOOKUP(A1440,Meta.Features!$A:$K,$E$1,FALSE)</f>
        <v>Nominal</v>
      </c>
      <c r="F1440" s="3" t="s">
        <v>861</v>
      </c>
      <c r="G1440" s="3" t="s">
        <v>861</v>
      </c>
      <c r="H1440" s="1" t="s">
        <v>862</v>
      </c>
      <c r="I1440" s="1" t="s">
        <v>862</v>
      </c>
      <c r="J1440" s="1"/>
    </row>
    <row r="1441" spans="1:12" ht="18" customHeight="1" x14ac:dyDescent="0.3">
      <c r="A1441" s="28">
        <v>130</v>
      </c>
      <c r="B1441" s="26" t="str">
        <f>VLOOKUP(A1441,Meta.Features!$A:$G,$B$1,FALSE)</f>
        <v>SystemicTherapy</v>
      </c>
      <c r="C1441" s="26" t="str">
        <f>VLOOKUP(A1441,Meta.Features!$A:$G,$C$1,FALSE)</f>
        <v>therapieart</v>
      </c>
      <c r="D1441" s="26" t="str">
        <f>VLOOKUP(A1441,Meta.Features!$A:$G,$D$1,FALSE)</f>
        <v>Type</v>
      </c>
      <c r="E1441" s="3" t="str">
        <f>VLOOKUP(A1441,Meta.Features!$A:$K,$E$1,FALSE)</f>
        <v>Nominal</v>
      </c>
      <c r="F1441" s="3" t="s">
        <v>863</v>
      </c>
      <c r="G1441" s="3" t="s">
        <v>863</v>
      </c>
      <c r="H1441" s="1" t="s">
        <v>864</v>
      </c>
      <c r="I1441" s="1" t="s">
        <v>864</v>
      </c>
      <c r="J1441" s="1"/>
    </row>
    <row r="1442" spans="1:12" ht="18" customHeight="1" x14ac:dyDescent="0.3">
      <c r="A1442" s="28">
        <v>130</v>
      </c>
      <c r="B1442" s="26" t="str">
        <f>VLOOKUP(A1442,Meta.Features!$A:$G,$B$1,FALSE)</f>
        <v>SystemicTherapy</v>
      </c>
      <c r="C1442" s="26" t="str">
        <f>VLOOKUP(A1442,Meta.Features!$A:$G,$C$1,FALSE)</f>
        <v>therapieart</v>
      </c>
      <c r="D1442" s="26" t="str">
        <f>VLOOKUP(A1442,Meta.Features!$A:$G,$D$1,FALSE)</f>
        <v>Type</v>
      </c>
      <c r="E1442" s="3" t="str">
        <f>VLOOKUP(A1442,Meta.Features!$A:$K,$E$1,FALSE)</f>
        <v>Nominal</v>
      </c>
      <c r="F1442" s="3" t="s">
        <v>865</v>
      </c>
      <c r="G1442" s="3" t="s">
        <v>865</v>
      </c>
      <c r="H1442" s="1" t="s">
        <v>866</v>
      </c>
      <c r="I1442" s="1" t="s">
        <v>866</v>
      </c>
      <c r="J1442" s="1"/>
    </row>
    <row r="1443" spans="1:12" ht="18" customHeight="1" x14ac:dyDescent="0.3">
      <c r="A1443" s="28">
        <v>130</v>
      </c>
      <c r="B1443" s="26" t="str">
        <f>VLOOKUP(A1443,Meta.Features!$A:$G,$B$1,FALSE)</f>
        <v>SystemicTherapy</v>
      </c>
      <c r="C1443" s="26" t="str">
        <f>VLOOKUP(A1443,Meta.Features!$A:$G,$C$1,FALSE)</f>
        <v>therapieart</v>
      </c>
      <c r="D1443" s="26" t="str">
        <f>VLOOKUP(A1443,Meta.Features!$A:$G,$D$1,FALSE)</f>
        <v>Type</v>
      </c>
      <c r="E1443" s="3" t="str">
        <f>VLOOKUP(A1443,Meta.Features!$A:$K,$E$1,FALSE)</f>
        <v>Nominal</v>
      </c>
      <c r="F1443" s="3" t="s">
        <v>867</v>
      </c>
      <c r="G1443" s="3" t="s">
        <v>867</v>
      </c>
      <c r="H1443" s="1" t="s">
        <v>868</v>
      </c>
      <c r="I1443" s="1" t="s">
        <v>868</v>
      </c>
      <c r="J1443" s="1"/>
    </row>
    <row r="1444" spans="1:12" ht="18" customHeight="1" x14ac:dyDescent="0.3">
      <c r="A1444" s="28">
        <v>128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systemische_therapie_stellung_zu_op_therapie</v>
      </c>
      <c r="D1444" s="26" t="str">
        <f>VLOOKUP(A1444,Meta.Features!$A:$G,$D$1,FALSE)</f>
        <v>RelationToSurgery</v>
      </c>
      <c r="E1444" s="3" t="str">
        <f>VLOOKUP(A1444,Meta.Features!$A:$K,$E$1,FALSE)</f>
        <v>Nominal</v>
      </c>
      <c r="F1444" s="5" t="s">
        <v>186</v>
      </c>
      <c r="G1444" s="5" t="s">
        <v>188</v>
      </c>
      <c r="H1444" s="7" t="s">
        <v>188</v>
      </c>
      <c r="I1444" s="4"/>
      <c r="L1444" s="4"/>
    </row>
    <row r="1445" spans="1:12" ht="18" customHeight="1" x14ac:dyDescent="0.3">
      <c r="A1445" s="28">
        <v>128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systemische_therapie_stellung_zu_op_therapie</v>
      </c>
      <c r="D1445" s="26" t="str">
        <f>VLOOKUP(A1445,Meta.Features!$A:$G,$D$1,FALSE)</f>
        <v>RelationToSurgery</v>
      </c>
      <c r="E1445" s="3" t="str">
        <f>VLOOKUP(A1445,Meta.Features!$A:$K,$E$1,FALSE)</f>
        <v>Nominal</v>
      </c>
      <c r="F1445" s="5" t="s">
        <v>46</v>
      </c>
      <c r="G1445" s="5" t="s">
        <v>458</v>
      </c>
      <c r="H1445" s="7" t="s">
        <v>458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systemische_therapie_stellung_zu_op_therapie</v>
      </c>
      <c r="D1446" s="26" t="str">
        <f>VLOOKUP(A1446,Meta.Features!$A:$G,$D$1,FALSE)</f>
        <v>RelationToSurgery</v>
      </c>
      <c r="E1446" s="3" t="str">
        <f>VLOOKUP(A1446,Meta.Features!$A:$K,$E$1,FALSE)</f>
        <v>Nominal</v>
      </c>
      <c r="F1446" s="5" t="s">
        <v>187</v>
      </c>
      <c r="G1446" s="5" t="s">
        <v>189</v>
      </c>
      <c r="H1446" s="7" t="s">
        <v>189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systemische_therapie_stellung_zu_op_therapie</v>
      </c>
      <c r="D1447" s="26" t="str">
        <f>VLOOKUP(A1447,Meta.Features!$A:$G,$D$1,FALSE)</f>
        <v>RelationToSurgery</v>
      </c>
      <c r="E1447" s="3" t="str">
        <f>VLOOKUP(A1447,Meta.Features!$A:$K,$E$1,FALSE)</f>
        <v>Nominal</v>
      </c>
      <c r="F1447" s="3" t="s">
        <v>176</v>
      </c>
      <c r="G1447" s="5" t="s">
        <v>180</v>
      </c>
      <c r="H1447" s="7" t="s">
        <v>180</v>
      </c>
      <c r="I1447" s="4"/>
    </row>
    <row r="1448" spans="1:12" ht="18" customHeight="1" x14ac:dyDescent="0.3">
      <c r="A1448" s="28">
        <v>128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systemische_therapie_stellung_zu_op_therapie</v>
      </c>
      <c r="D1448" s="26" t="str">
        <f>VLOOKUP(A1448,Meta.Features!$A:$G,$D$1,FALSE)</f>
        <v>RelationToSurgery</v>
      </c>
      <c r="E1448" s="3" t="str">
        <f>VLOOKUP(A1448,Meta.Features!$A:$K,$E$1,FALSE)</f>
        <v>Nominal</v>
      </c>
      <c r="F1448" s="3" t="s">
        <v>181</v>
      </c>
      <c r="G1448" s="5" t="s">
        <v>1603</v>
      </c>
      <c r="H1448" s="7" t="s">
        <v>190</v>
      </c>
      <c r="I1448" s="4"/>
    </row>
    <row r="1449" spans="1:12" ht="18" customHeight="1" x14ac:dyDescent="0.3">
      <c r="A1449" s="28">
        <v>142</v>
      </c>
      <c r="B1449" s="26" t="str">
        <f>VLOOKUP(A1449,Meta.Features!$A:$G,$B$1,FALSE)</f>
        <v>SystemicTherapy</v>
      </c>
      <c r="C1449" s="26" t="str">
        <f>VLOOKUP(A1449,Meta.Features!$A:$G,$C$1,FALSE)</f>
        <v>CTCAEGrade</v>
      </c>
      <c r="D1449" s="26" t="str">
        <f>VLOOKUP(A1449,Meta.Features!$A:$G,$D$1,FALSE)</f>
        <v>CTCAEGrade</v>
      </c>
      <c r="E1449" s="3" t="str">
        <f>VLOOKUP(A1449,Meta.Features!$A:$K,$E$1,FALSE)</f>
        <v>Nominal</v>
      </c>
      <c r="F1449" s="3" t="s">
        <v>174</v>
      </c>
      <c r="G1449" s="3" t="s">
        <v>659</v>
      </c>
      <c r="H1449" s="1" t="s">
        <v>653</v>
      </c>
      <c r="I1449" s="1" t="s">
        <v>653</v>
      </c>
      <c r="J1449" s="1"/>
    </row>
    <row r="1450" spans="1:12" ht="18" customHeight="1" x14ac:dyDescent="0.3">
      <c r="A1450" s="28">
        <v>142</v>
      </c>
      <c r="B1450" s="26" t="str">
        <f>VLOOKUP(A1450,Meta.Features!$A:$G,$B$1,FALSE)</f>
        <v>SystemicTherapy</v>
      </c>
      <c r="C1450" s="26" t="str">
        <f>VLOOKUP(A1450,Meta.Features!$A:$G,$C$1,FALSE)</f>
        <v>CTCAEGrade</v>
      </c>
      <c r="D1450" s="26" t="str">
        <f>VLOOKUP(A1450,Meta.Features!$A:$G,$D$1,FALSE)</f>
        <v>CTCAEGrade</v>
      </c>
      <c r="E1450" s="3" t="str">
        <f>VLOOKUP(A1450,Meta.Features!$A:$K,$E$1,FALSE)</f>
        <v>Nominal</v>
      </c>
      <c r="F1450" s="3" t="s">
        <v>614</v>
      </c>
      <c r="G1450" s="3">
        <v>1</v>
      </c>
      <c r="H1450" s="1" t="s">
        <v>654</v>
      </c>
      <c r="I1450" s="1" t="s">
        <v>654</v>
      </c>
      <c r="J1450" s="1"/>
    </row>
    <row r="1451" spans="1:12" ht="18" customHeight="1" x14ac:dyDescent="0.3">
      <c r="A1451" s="28">
        <v>142</v>
      </c>
      <c r="B1451" s="26" t="str">
        <f>VLOOKUP(A1451,Meta.Features!$A:$G,$B$1,FALSE)</f>
        <v>SystemicTherapy</v>
      </c>
      <c r="C1451" s="26" t="str">
        <f>VLOOKUP(A1451,Meta.Features!$A:$G,$C$1,FALSE)</f>
        <v>CTCAEGrade</v>
      </c>
      <c r="D1451" s="26" t="str">
        <f>VLOOKUP(A1451,Meta.Features!$A:$G,$D$1,FALSE)</f>
        <v>CTCAEGrade</v>
      </c>
      <c r="E1451" s="3" t="str">
        <f>VLOOKUP(A1451,Meta.Features!$A:$K,$E$1,FALSE)</f>
        <v>Nominal</v>
      </c>
      <c r="F1451" s="3" t="s">
        <v>616</v>
      </c>
      <c r="G1451" s="3">
        <v>2</v>
      </c>
      <c r="H1451" s="1" t="s">
        <v>655</v>
      </c>
      <c r="I1451" s="1" t="s">
        <v>655</v>
      </c>
      <c r="J1451" s="1"/>
    </row>
    <row r="1452" spans="1:12" ht="18" customHeight="1" x14ac:dyDescent="0.3">
      <c r="A1452" s="28">
        <v>142</v>
      </c>
      <c r="B1452" s="26" t="str">
        <f>VLOOKUP(A1452,Meta.Features!$A:$G,$B$1,FALSE)</f>
        <v>SystemicTherapy</v>
      </c>
      <c r="C1452" s="26" t="str">
        <f>VLOOKUP(A1452,Meta.Features!$A:$G,$C$1,FALSE)</f>
        <v>CTCAEGrade</v>
      </c>
      <c r="D1452" s="26" t="str">
        <f>VLOOKUP(A1452,Meta.Features!$A:$G,$D$1,FALSE)</f>
        <v>CTCAEGrade</v>
      </c>
      <c r="E1452" s="3" t="str">
        <f>VLOOKUP(A1452,Meta.Features!$A:$K,$E$1,FALSE)</f>
        <v>Nominal</v>
      </c>
      <c r="F1452" s="3" t="s">
        <v>631</v>
      </c>
      <c r="G1452" s="3">
        <v>3</v>
      </c>
      <c r="H1452" s="1" t="s">
        <v>656</v>
      </c>
      <c r="I1452" s="1" t="s">
        <v>656</v>
      </c>
      <c r="J1452" s="1"/>
    </row>
    <row r="1453" spans="1:12" ht="18" customHeight="1" x14ac:dyDescent="0.3">
      <c r="A1453" s="28">
        <v>142</v>
      </c>
      <c r="B1453" s="26" t="str">
        <f>VLOOKUP(A1453,Meta.Features!$A:$G,$B$1,FALSE)</f>
        <v>SystemicTherapy</v>
      </c>
      <c r="C1453" s="26" t="str">
        <f>VLOOKUP(A1453,Meta.Features!$A:$G,$C$1,FALSE)</f>
        <v>CTCAEGrade</v>
      </c>
      <c r="D1453" s="26" t="str">
        <f>VLOOKUP(A1453,Meta.Features!$A:$G,$D$1,FALSE)</f>
        <v>CTCAEGrade</v>
      </c>
      <c r="E1453" s="3" t="str">
        <f>VLOOKUP(A1453,Meta.Features!$A:$K,$E$1,FALSE)</f>
        <v>Nominal</v>
      </c>
      <c r="F1453" s="3" t="s">
        <v>618</v>
      </c>
      <c r="G1453" s="3">
        <v>4</v>
      </c>
      <c r="H1453" s="1" t="s">
        <v>657</v>
      </c>
      <c r="I1453" s="1" t="s">
        <v>657</v>
      </c>
      <c r="J1453" s="1"/>
    </row>
    <row r="1454" spans="1:12" ht="18" customHeight="1" x14ac:dyDescent="0.3">
      <c r="A1454" s="28">
        <v>142</v>
      </c>
      <c r="B1454" s="26" t="str">
        <f>VLOOKUP(A1454,Meta.Features!$A:$G,$B$1,FALSE)</f>
        <v>SystemicTherapy</v>
      </c>
      <c r="C1454" s="26" t="str">
        <f>VLOOKUP(A1454,Meta.Features!$A:$G,$C$1,FALSE)</f>
        <v>CTCAEGrade</v>
      </c>
      <c r="D1454" s="26" t="str">
        <f>VLOOKUP(A1454,Meta.Features!$A:$G,$D$1,FALSE)</f>
        <v>CTCAEGrade</v>
      </c>
      <c r="E1454" s="3" t="str">
        <f>VLOOKUP(A1454,Meta.Features!$A:$K,$E$1,FALSE)</f>
        <v>Nominal</v>
      </c>
      <c r="F1454" s="3" t="s">
        <v>620</v>
      </c>
      <c r="G1454" s="3">
        <v>5</v>
      </c>
      <c r="H1454" s="1" t="s">
        <v>658</v>
      </c>
      <c r="I1454" s="1" t="s">
        <v>658</v>
      </c>
      <c r="J1454" s="1"/>
    </row>
    <row r="1455" spans="1:12" ht="18" customHeight="1" x14ac:dyDescent="0.3">
      <c r="A1455" s="28">
        <v>148</v>
      </c>
      <c r="B1455" s="26" t="str">
        <f>VLOOKUP(A1455,Meta.Features!$A:$G,$B$1,FALSE)</f>
        <v>TherapyRecommendation</v>
      </c>
      <c r="C1455" s="26" t="str">
        <f>VLOOKUP(A1455,Meta.Features!$A:$G,$C$1,FALSE)</f>
        <v>TherapyRecommendationType</v>
      </c>
      <c r="D1455" s="26" t="str">
        <f>VLOOKUP(A1455,Meta.Features!$A:$G,$D$1,FALSE)</f>
        <v>Type</v>
      </c>
      <c r="E1455" s="3" t="str">
        <f>VLOOKUP(A1455,Meta.Features!$A:$K,$E$1,FALSE)</f>
        <v>Nominal</v>
      </c>
      <c r="F1455" s="3" t="s">
        <v>842</v>
      </c>
      <c r="G1455" s="3" t="s">
        <v>842</v>
      </c>
      <c r="H1455" s="1" t="s">
        <v>843</v>
      </c>
      <c r="I1455" s="1" t="s">
        <v>843</v>
      </c>
      <c r="J1455" s="1"/>
    </row>
    <row r="1456" spans="1:12" ht="18" customHeight="1" x14ac:dyDescent="0.3">
      <c r="A1456" s="28">
        <v>148</v>
      </c>
      <c r="B1456" s="26" t="str">
        <f>VLOOKUP(A1456,Meta.Features!$A:$G,$B$1,FALSE)</f>
        <v>TherapyRecommendation</v>
      </c>
      <c r="C1456" s="26" t="str">
        <f>VLOOKUP(A1456,Meta.Features!$A:$G,$C$1,FALSE)</f>
        <v>TherapyRecommendationType</v>
      </c>
      <c r="D1456" s="26" t="str">
        <f>VLOOKUP(A1456,Meta.Features!$A:$G,$D$1,FALSE)</f>
        <v>Type</v>
      </c>
      <c r="E1456" s="3" t="str">
        <f>VLOOKUP(A1456,Meta.Features!$A:$K,$E$1,FALSE)</f>
        <v>Nominal</v>
      </c>
      <c r="F1456" s="3" t="s">
        <v>844</v>
      </c>
      <c r="G1456" s="3" t="s">
        <v>844</v>
      </c>
      <c r="H1456" s="1" t="s">
        <v>845</v>
      </c>
      <c r="I1456" s="1" t="s">
        <v>845</v>
      </c>
      <c r="J1456" s="1"/>
    </row>
    <row r="1457" spans="1:10" ht="18" customHeight="1" x14ac:dyDescent="0.3">
      <c r="A1457" s="28">
        <v>148</v>
      </c>
      <c r="B1457" s="26" t="str">
        <f>VLOOKUP(A1457,Meta.Features!$A:$G,$B$1,FALSE)</f>
        <v>TherapyRecommendation</v>
      </c>
      <c r="C1457" s="26" t="str">
        <f>VLOOKUP(A1457,Meta.Features!$A:$G,$C$1,FALSE)</f>
        <v>TherapyRecommendationType</v>
      </c>
      <c r="D1457" s="26" t="str">
        <f>VLOOKUP(A1457,Meta.Features!$A:$G,$D$1,FALSE)</f>
        <v>Type</v>
      </c>
      <c r="E1457" s="3" t="str">
        <f>VLOOKUP(A1457,Meta.Features!$A:$K,$E$1,FALSE)</f>
        <v>Nominal</v>
      </c>
      <c r="F1457" s="3" t="s">
        <v>846</v>
      </c>
      <c r="G1457" s="3" t="s">
        <v>846</v>
      </c>
      <c r="H1457" s="1" t="s">
        <v>847</v>
      </c>
      <c r="I1457" s="1" t="s">
        <v>847</v>
      </c>
      <c r="J1457" s="1"/>
    </row>
    <row r="1458" spans="1:10" ht="18" customHeight="1" x14ac:dyDescent="0.3">
      <c r="A1458" s="28">
        <v>148</v>
      </c>
      <c r="B1458" s="26" t="str">
        <f>VLOOKUP(A1458,Meta.Features!$A:$G,$B$1,FALSE)</f>
        <v>TherapyRecommendation</v>
      </c>
      <c r="C1458" s="26" t="str">
        <f>VLOOKUP(A1458,Meta.Features!$A:$G,$C$1,FALSE)</f>
        <v>TherapyRecommendationType</v>
      </c>
      <c r="D1458" s="26" t="str">
        <f>VLOOKUP(A1458,Meta.Features!$A:$G,$D$1,FALSE)</f>
        <v>Type</v>
      </c>
      <c r="E1458" s="3" t="str">
        <f>VLOOKUP(A1458,Meta.Features!$A:$K,$E$1,FALSE)</f>
        <v>Nominal</v>
      </c>
      <c r="F1458" s="3" t="s">
        <v>848</v>
      </c>
      <c r="G1458" s="3" t="s">
        <v>848</v>
      </c>
      <c r="H1458" s="1" t="s">
        <v>1452</v>
      </c>
      <c r="I1458" s="1" t="s">
        <v>1452</v>
      </c>
      <c r="J1458" s="1"/>
    </row>
    <row r="1459" spans="1:10" ht="18" customHeight="1" x14ac:dyDescent="0.3">
      <c r="A1459" s="28">
        <v>148</v>
      </c>
      <c r="B1459" s="26" t="str">
        <f>VLOOKUP(A1459,Meta.Features!$A:$G,$B$1,FALSE)</f>
        <v>TherapyRecommendation</v>
      </c>
      <c r="C1459" s="26" t="str">
        <f>VLOOKUP(A1459,Meta.Features!$A:$G,$C$1,FALSE)</f>
        <v>TherapyRecommendationType</v>
      </c>
      <c r="D1459" s="26" t="str">
        <f>VLOOKUP(A1459,Meta.Features!$A:$G,$D$1,FALSE)</f>
        <v>Type</v>
      </c>
      <c r="E1459" s="3" t="str">
        <f>VLOOKUP(A1459,Meta.Features!$A:$K,$E$1,FALSE)</f>
        <v>Nominal</v>
      </c>
      <c r="F1459" s="3" t="s">
        <v>850</v>
      </c>
      <c r="G1459" s="3" t="s">
        <v>850</v>
      </c>
      <c r="H1459" s="1" t="s">
        <v>851</v>
      </c>
      <c r="I1459" s="1" t="s">
        <v>851</v>
      </c>
      <c r="J1459" s="1"/>
    </row>
    <row r="1460" spans="1:10" ht="18" customHeight="1" x14ac:dyDescent="0.3">
      <c r="A1460" s="28">
        <v>148</v>
      </c>
      <c r="B1460" s="26" t="str">
        <f>VLOOKUP(A1460,Meta.Features!$A:$G,$B$1,FALSE)</f>
        <v>TherapyRecommendation</v>
      </c>
      <c r="C1460" s="26" t="str">
        <f>VLOOKUP(A1460,Meta.Features!$A:$G,$C$1,FALSE)</f>
        <v>TherapyRecommendationType</v>
      </c>
      <c r="D1460" s="26" t="str">
        <f>VLOOKUP(A1460,Meta.Features!$A:$G,$D$1,FALSE)</f>
        <v>Type</v>
      </c>
      <c r="E1460" s="3" t="str">
        <f>VLOOKUP(A1460,Meta.Features!$A:$K,$E$1,FALSE)</f>
        <v>Nominal</v>
      </c>
      <c r="F1460" s="3" t="s">
        <v>852</v>
      </c>
      <c r="G1460" s="3" t="s">
        <v>852</v>
      </c>
      <c r="H1460" s="1" t="s">
        <v>853</v>
      </c>
      <c r="I1460" s="1" t="s">
        <v>853</v>
      </c>
      <c r="J1460" s="1"/>
    </row>
    <row r="1461" spans="1:10" ht="18" customHeight="1" x14ac:dyDescent="0.3">
      <c r="A1461" s="28">
        <v>148</v>
      </c>
      <c r="B1461" s="26" t="str">
        <f>VLOOKUP(A1461,Meta.Features!$A:$G,$B$1,FALSE)</f>
        <v>TherapyRecommendation</v>
      </c>
      <c r="C1461" s="26" t="str">
        <f>VLOOKUP(A1461,Meta.Features!$A:$G,$C$1,FALSE)</f>
        <v>TherapyRecommendationType</v>
      </c>
      <c r="D1461" s="26" t="str">
        <f>VLOOKUP(A1461,Meta.Features!$A:$G,$D$1,FALSE)</f>
        <v>Type</v>
      </c>
      <c r="E1461" s="3" t="str">
        <f>VLOOKUP(A1461,Meta.Features!$A:$K,$E$1,FALSE)</f>
        <v>Nominal</v>
      </c>
      <c r="F1461" s="3" t="s">
        <v>854</v>
      </c>
      <c r="G1461" s="3" t="s">
        <v>854</v>
      </c>
      <c r="H1461" s="1" t="s">
        <v>855</v>
      </c>
      <c r="I1461" s="1" t="s">
        <v>855</v>
      </c>
      <c r="J1461" s="1"/>
    </row>
    <row r="1462" spans="1:10" ht="18" customHeight="1" x14ac:dyDescent="0.3">
      <c r="A1462" s="28">
        <v>148</v>
      </c>
      <c r="B1462" s="26" t="str">
        <f>VLOOKUP(A1462,Meta.Features!$A:$G,$B$1,FALSE)</f>
        <v>TherapyRecommendation</v>
      </c>
      <c r="C1462" s="26" t="str">
        <f>VLOOKUP(A1462,Meta.Features!$A:$G,$C$1,FALSE)</f>
        <v>TherapyRecommendationType</v>
      </c>
      <c r="D1462" s="26" t="str">
        <f>VLOOKUP(A1462,Meta.Features!$A:$G,$D$1,FALSE)</f>
        <v>Type</v>
      </c>
      <c r="E1462" s="3" t="str">
        <f>VLOOKUP(A1462,Meta.Features!$A:$K,$E$1,FALSE)</f>
        <v>Nominal</v>
      </c>
      <c r="F1462" s="3" t="s">
        <v>825</v>
      </c>
      <c r="G1462" s="3" t="s">
        <v>825</v>
      </c>
      <c r="H1462" s="1" t="s">
        <v>580</v>
      </c>
      <c r="I1462" s="1" t="s">
        <v>580</v>
      </c>
      <c r="J1462" s="1"/>
    </row>
    <row r="1463" spans="1:10" ht="18" customHeight="1" x14ac:dyDescent="0.3">
      <c r="A1463" s="28">
        <v>148</v>
      </c>
      <c r="B1463" s="26" t="str">
        <f>VLOOKUP(A1463,Meta.Features!$A:$G,$B$1,FALSE)</f>
        <v>TherapyRecommendation</v>
      </c>
      <c r="C1463" s="26" t="str">
        <f>VLOOKUP(A1463,Meta.Features!$A:$G,$C$1,FALSE)</f>
        <v>TherapyRecommendationType</v>
      </c>
      <c r="D1463" s="26" t="str">
        <f>VLOOKUP(A1463,Meta.Features!$A:$G,$D$1,FALSE)</f>
        <v>Type</v>
      </c>
      <c r="E1463" s="3" t="str">
        <f>VLOOKUP(A1463,Meta.Features!$A:$K,$E$1,FALSE)</f>
        <v>Nominal</v>
      </c>
      <c r="F1463" s="3" t="s">
        <v>869</v>
      </c>
      <c r="G1463" s="3" t="s">
        <v>869</v>
      </c>
      <c r="H1463" s="1" t="s">
        <v>870</v>
      </c>
      <c r="I1463" s="1" t="s">
        <v>870</v>
      </c>
      <c r="J1463" s="1"/>
    </row>
    <row r="1464" spans="1:10" ht="18" customHeight="1" x14ac:dyDescent="0.3">
      <c r="A1464" s="28">
        <v>148</v>
      </c>
      <c r="B1464" s="26" t="str">
        <f>VLOOKUP(A1464,Meta.Features!$A:$G,$B$1,FALSE)</f>
        <v>TherapyRecommendation</v>
      </c>
      <c r="C1464" s="26" t="str">
        <f>VLOOKUP(A1464,Meta.Features!$A:$G,$C$1,FALSE)</f>
        <v>TherapyRecommendationType</v>
      </c>
      <c r="D1464" s="26" t="str">
        <f>VLOOKUP(A1464,Meta.Features!$A:$G,$D$1,FALSE)</f>
        <v>Type</v>
      </c>
      <c r="E1464" s="3" t="str">
        <f>VLOOKUP(A1464,Meta.Features!$A:$K,$E$1,FALSE)</f>
        <v>Nominal</v>
      </c>
      <c r="F1464" s="3" t="s">
        <v>585</v>
      </c>
      <c r="G1464" s="3" t="s">
        <v>585</v>
      </c>
      <c r="H1464" s="1" t="s">
        <v>856</v>
      </c>
      <c r="I1464" s="1" t="s">
        <v>856</v>
      </c>
      <c r="J1464" s="1"/>
    </row>
    <row r="1465" spans="1:10" ht="18" customHeight="1" x14ac:dyDescent="0.3">
      <c r="A1465" s="28">
        <v>148</v>
      </c>
      <c r="B1465" s="26" t="str">
        <f>VLOOKUP(A1465,Meta.Features!$A:$G,$B$1,FALSE)</f>
        <v>TherapyRecommendation</v>
      </c>
      <c r="C1465" s="26" t="str">
        <f>VLOOKUP(A1465,Meta.Features!$A:$G,$C$1,FALSE)</f>
        <v>TherapyRecommendationType</v>
      </c>
      <c r="D1465" s="26" t="str">
        <f>VLOOKUP(A1465,Meta.Features!$A:$G,$D$1,FALSE)</f>
        <v>Type</v>
      </c>
      <c r="E1465" s="3" t="str">
        <f>VLOOKUP(A1465,Meta.Features!$A:$K,$E$1,FALSE)</f>
        <v>Nominal</v>
      </c>
      <c r="F1465" s="3" t="s">
        <v>857</v>
      </c>
      <c r="G1465" s="3" t="s">
        <v>857</v>
      </c>
      <c r="H1465" s="1" t="s">
        <v>858</v>
      </c>
      <c r="I1465" s="1" t="s">
        <v>858</v>
      </c>
      <c r="J1465" s="1"/>
    </row>
    <row r="1466" spans="1:10" ht="18" customHeight="1" x14ac:dyDescent="0.3">
      <c r="A1466" s="28">
        <v>148</v>
      </c>
      <c r="B1466" s="26" t="str">
        <f>VLOOKUP(A1466,Meta.Features!$A:$G,$B$1,FALSE)</f>
        <v>TherapyRecommendation</v>
      </c>
      <c r="C1466" s="26" t="str">
        <f>VLOOKUP(A1466,Meta.Features!$A:$G,$C$1,FALSE)</f>
        <v>TherapyRecommendationType</v>
      </c>
      <c r="D1466" s="26" t="str">
        <f>VLOOKUP(A1466,Meta.Features!$A:$G,$D$1,FALSE)</f>
        <v>Type</v>
      </c>
      <c r="E1466" s="3" t="str">
        <f>VLOOKUP(A1466,Meta.Features!$A:$K,$E$1,FALSE)</f>
        <v>Nominal</v>
      </c>
      <c r="F1466" s="3" t="s">
        <v>859</v>
      </c>
      <c r="G1466" s="3" t="s">
        <v>859</v>
      </c>
      <c r="H1466" s="1" t="s">
        <v>860</v>
      </c>
      <c r="I1466" s="1" t="s">
        <v>860</v>
      </c>
      <c r="J1466" s="1"/>
    </row>
    <row r="1467" spans="1:10" ht="18" customHeight="1" x14ac:dyDescent="0.3">
      <c r="A1467" s="28">
        <v>148</v>
      </c>
      <c r="B1467" s="26" t="str">
        <f>VLOOKUP(A1467,Meta.Features!$A:$G,$B$1,FALSE)</f>
        <v>TherapyRecommendation</v>
      </c>
      <c r="C1467" s="26" t="str">
        <f>VLOOKUP(A1467,Meta.Features!$A:$G,$C$1,FALSE)</f>
        <v>TherapyRecommendationType</v>
      </c>
      <c r="D1467" s="26" t="str">
        <f>VLOOKUP(A1467,Meta.Features!$A:$G,$D$1,FALSE)</f>
        <v>Type</v>
      </c>
      <c r="E1467" s="3" t="str">
        <f>VLOOKUP(A1467,Meta.Features!$A:$K,$E$1,FALSE)</f>
        <v>Nominal</v>
      </c>
      <c r="F1467" s="3" t="s">
        <v>2261</v>
      </c>
      <c r="G1467" s="3" t="s">
        <v>2261</v>
      </c>
      <c r="H1467" s="1" t="s">
        <v>2262</v>
      </c>
      <c r="I1467" s="1" t="s">
        <v>2262</v>
      </c>
      <c r="J1467" s="1"/>
    </row>
    <row r="1468" spans="1:10" ht="18" customHeight="1" x14ac:dyDescent="0.3">
      <c r="A1468" s="28">
        <v>148</v>
      </c>
      <c r="B1468" s="26" t="str">
        <f>VLOOKUP(A1468,Meta.Features!$A:$G,$B$1,FALSE)</f>
        <v>TherapyRecommendation</v>
      </c>
      <c r="C1468" s="26" t="str">
        <f>VLOOKUP(A1468,Meta.Features!$A:$G,$C$1,FALSE)</f>
        <v>TherapyRecommendationType</v>
      </c>
      <c r="D1468" s="26" t="str">
        <f>VLOOKUP(A1468,Meta.Features!$A:$G,$D$1,FALSE)</f>
        <v>Type</v>
      </c>
      <c r="E1468" s="3" t="str">
        <f>VLOOKUP(A1468,Meta.Features!$A:$K,$E$1,FALSE)</f>
        <v>Nominal</v>
      </c>
      <c r="F1468" s="3" t="s">
        <v>863</v>
      </c>
      <c r="G1468" s="3" t="s">
        <v>863</v>
      </c>
      <c r="H1468" s="1" t="s">
        <v>864</v>
      </c>
      <c r="I1468" s="1" t="s">
        <v>864</v>
      </c>
      <c r="J1468" s="1"/>
    </row>
    <row r="1469" spans="1:10" ht="18" customHeight="1" x14ac:dyDescent="0.3">
      <c r="A1469" s="28">
        <v>148</v>
      </c>
      <c r="B1469" s="26" t="str">
        <f>VLOOKUP(A1469,Meta.Features!$A:$G,$B$1,FALSE)</f>
        <v>TherapyRecommendation</v>
      </c>
      <c r="C1469" s="26" t="str">
        <f>VLOOKUP(A1469,Meta.Features!$A:$G,$C$1,FALSE)</f>
        <v>TherapyRecommendationType</v>
      </c>
      <c r="D1469" s="26" t="str">
        <f>VLOOKUP(A1469,Meta.Features!$A:$G,$D$1,FALSE)</f>
        <v>Type</v>
      </c>
      <c r="E1469" s="3" t="str">
        <f>VLOOKUP(A1469,Meta.Features!$A:$K,$E$1,FALSE)</f>
        <v>Nominal</v>
      </c>
      <c r="F1469" s="3" t="s">
        <v>861</v>
      </c>
      <c r="G1469" s="3" t="s">
        <v>861</v>
      </c>
      <c r="H1469" s="1" t="s">
        <v>862</v>
      </c>
      <c r="I1469" s="1" t="s">
        <v>862</v>
      </c>
      <c r="J1469" s="1"/>
    </row>
    <row r="1470" spans="1:10" ht="18" customHeight="1" x14ac:dyDescent="0.3">
      <c r="A1470" s="28">
        <v>149</v>
      </c>
      <c r="B1470" s="26" t="str">
        <f>VLOOKUP(A1470,Meta.Features!$A:$G,$B$1,FALSE)</f>
        <v>TherapyRecommendation</v>
      </c>
      <c r="C1470" s="26" t="str">
        <f>VLOOKUP(A1470,Meta.Features!$A:$G,$C$1,FALSE)</f>
        <v>TherapyRecommendationDeviation</v>
      </c>
      <c r="D1470" s="26" t="str">
        <f>VLOOKUP(A1470,Meta.Features!$A:$G,$D$1,FALSE)</f>
        <v>Deviation</v>
      </c>
      <c r="E1470" s="3" t="str">
        <f>VLOOKUP(A1470,Meta.Features!$A:$K,$E$1,FALSE)</f>
        <v>Nominal</v>
      </c>
      <c r="F1470" s="3" t="s">
        <v>605</v>
      </c>
      <c r="G1470" s="3" t="s">
        <v>651</v>
      </c>
      <c r="H1470" s="1" t="s">
        <v>649</v>
      </c>
      <c r="I1470" s="1" t="s">
        <v>649</v>
      </c>
      <c r="J1470" s="1"/>
    </row>
    <row r="1471" spans="1:10" ht="18" customHeight="1" x14ac:dyDescent="0.3">
      <c r="A1471" s="28">
        <v>149</v>
      </c>
      <c r="B1471" s="26" t="str">
        <f>VLOOKUP(A1471,Meta.Features!$A:$G,$B$1,FALSE)</f>
        <v>TherapyRecommendation</v>
      </c>
      <c r="C1471" s="26" t="str">
        <f>VLOOKUP(A1471,Meta.Features!$A:$G,$C$1,FALSE)</f>
        <v>TherapyRecommendationDeviation</v>
      </c>
      <c r="D1471" s="26" t="str">
        <f>VLOOKUP(A1471,Meta.Features!$A:$G,$D$1,FALSE)</f>
        <v>Deviation</v>
      </c>
      <c r="E1471" s="3" t="str">
        <f>VLOOKUP(A1471,Meta.Features!$A:$K,$E$1,FALSE)</f>
        <v>Nominal</v>
      </c>
      <c r="F1471" s="3" t="s">
        <v>187</v>
      </c>
      <c r="G1471" s="3" t="s">
        <v>652</v>
      </c>
      <c r="H1471" s="1" t="s">
        <v>650</v>
      </c>
      <c r="I1471" s="1" t="s">
        <v>650</v>
      </c>
      <c r="J1471" s="1"/>
    </row>
  </sheetData>
  <autoFilter ref="A3:K1471" xr:uid="{6EF1C1D3-3AE0-4822-BECE-5F11FDFA805B}"/>
  <sortState xmlns:xlrd2="http://schemas.microsoft.com/office/spreadsheetml/2017/richdata2" ref="F900:G1427">
    <sortCondition ref="F900:F1427"/>
  </sortState>
  <conditionalFormatting sqref="G1444:G1448 G605:G651 G35:G50 G55:G60 G4:G14 G471:G580 G104:G144 G68:G98 G734:G736 G817:G864 G897:G899">
    <cfRule type="expression" dxfId="142" priority="120">
      <formula>($F4&lt;&gt;$G4)</formula>
    </cfRule>
  </conditionalFormatting>
  <conditionalFormatting sqref="F1444:F1448 F605:F651 F35:F50 F55:F60 F4:F14 F471:F580 F104:F154 F68:F98 F734:F736 F817:F864 F897:F899">
    <cfRule type="expression" dxfId="141" priority="129">
      <formula>($F4&lt;&gt;$G4)</formula>
    </cfRule>
  </conditionalFormatting>
  <conditionalFormatting sqref="G145:G154">
    <cfRule type="expression" dxfId="140" priority="37">
      <formula>($F145&lt;&gt;$G145)</formula>
    </cfRule>
  </conditionalFormatting>
  <conditionalFormatting sqref="G881:G884">
    <cfRule type="expression" dxfId="139" priority="31">
      <formula>($F881&lt;&gt;$G881)</formula>
    </cfRule>
  </conditionalFormatting>
  <conditionalFormatting sqref="F881:F884">
    <cfRule type="expression" dxfId="138" priority="32">
      <formula>($F881&lt;&gt;$G881)</formula>
    </cfRule>
  </conditionalFormatting>
  <conditionalFormatting sqref="G877:G880">
    <cfRule type="expression" dxfId="137" priority="29">
      <formula>($F877&lt;&gt;$G877)</formula>
    </cfRule>
  </conditionalFormatting>
  <conditionalFormatting sqref="F877:F880">
    <cfRule type="expression" dxfId="136" priority="30">
      <formula>($F877&lt;&gt;$G877)</formula>
    </cfRule>
  </conditionalFormatting>
  <conditionalFormatting sqref="G873:G876">
    <cfRule type="expression" dxfId="135" priority="27">
      <formula>($F873&lt;&gt;$G873)</formula>
    </cfRule>
  </conditionalFormatting>
  <conditionalFormatting sqref="F873:F876">
    <cfRule type="expression" dxfId="134" priority="28">
      <formula>($F873&lt;&gt;$G873)</formula>
    </cfRule>
  </conditionalFormatting>
  <conditionalFormatting sqref="G869:G872">
    <cfRule type="expression" dxfId="133" priority="25">
      <formula>($F869&lt;&gt;$G869)</formula>
    </cfRule>
  </conditionalFormatting>
  <conditionalFormatting sqref="F869:F872">
    <cfRule type="expression" dxfId="132" priority="26">
      <formula>($F869&lt;&gt;$G869)</formula>
    </cfRule>
  </conditionalFormatting>
  <conditionalFormatting sqref="G865:G868">
    <cfRule type="expression" dxfId="131" priority="23">
      <formula>($F865&lt;&gt;$G865)</formula>
    </cfRule>
  </conditionalFormatting>
  <conditionalFormatting sqref="F865:F868">
    <cfRule type="expression" dxfId="130" priority="24">
      <formula>($F865&lt;&gt;$G865)</formula>
    </cfRule>
  </conditionalFormatting>
  <conditionalFormatting sqref="G737:G784 G813:G816">
    <cfRule type="expression" dxfId="129" priority="21">
      <formula>($F737&lt;&gt;$G737)</formula>
    </cfRule>
  </conditionalFormatting>
  <conditionalFormatting sqref="F737:F784 F813:F816">
    <cfRule type="expression" dxfId="128" priority="22">
      <formula>($F737&lt;&gt;$G737)</formula>
    </cfRule>
  </conditionalFormatting>
  <conditionalFormatting sqref="G809:G812">
    <cfRule type="expression" dxfId="127" priority="19">
      <formula>($F809&lt;&gt;$G809)</formula>
    </cfRule>
  </conditionalFormatting>
  <conditionalFormatting sqref="F809:F812">
    <cfRule type="expression" dxfId="126" priority="20">
      <formula>($F809&lt;&gt;$G809)</formula>
    </cfRule>
  </conditionalFormatting>
  <conditionalFormatting sqref="G805:G808">
    <cfRule type="expression" dxfId="125" priority="17">
      <formula>($F805&lt;&gt;$G805)</formula>
    </cfRule>
  </conditionalFormatting>
  <conditionalFormatting sqref="F805:F808">
    <cfRule type="expression" dxfId="124" priority="18">
      <formula>($F805&lt;&gt;$G805)</formula>
    </cfRule>
  </conditionalFormatting>
  <conditionalFormatting sqref="G801:G804">
    <cfRule type="expression" dxfId="123" priority="15">
      <formula>($F801&lt;&gt;$G801)</formula>
    </cfRule>
  </conditionalFormatting>
  <conditionalFormatting sqref="F801:F804">
    <cfRule type="expression" dxfId="122" priority="16">
      <formula>($F801&lt;&gt;$G801)</formula>
    </cfRule>
  </conditionalFormatting>
  <conditionalFormatting sqref="G797:G800">
    <cfRule type="expression" dxfId="121" priority="13">
      <formula>($F797&lt;&gt;$G797)</formula>
    </cfRule>
  </conditionalFormatting>
  <conditionalFormatting sqref="F797:F800">
    <cfRule type="expression" dxfId="120" priority="14">
      <formula>($F797&lt;&gt;$G797)</formula>
    </cfRule>
  </conditionalFormatting>
  <conditionalFormatting sqref="G793:G796">
    <cfRule type="expression" dxfId="119" priority="11">
      <formula>($F793&lt;&gt;$G793)</formula>
    </cfRule>
  </conditionalFormatting>
  <conditionalFormatting sqref="F793:F796">
    <cfRule type="expression" dxfId="118" priority="12">
      <formula>($F793&lt;&gt;$G793)</formula>
    </cfRule>
  </conditionalFormatting>
  <conditionalFormatting sqref="G789:G792">
    <cfRule type="expression" dxfId="117" priority="9">
      <formula>($F789&lt;&gt;$G789)</formula>
    </cfRule>
  </conditionalFormatting>
  <conditionalFormatting sqref="F789:F792">
    <cfRule type="expression" dxfId="116" priority="10">
      <formula>($F789&lt;&gt;$G789)</formula>
    </cfRule>
  </conditionalFormatting>
  <conditionalFormatting sqref="G785:G788">
    <cfRule type="expression" dxfId="115" priority="7">
      <formula>($F785&lt;&gt;$G785)</formula>
    </cfRule>
  </conditionalFormatting>
  <conditionalFormatting sqref="F785:F788">
    <cfRule type="expression" dxfId="114" priority="8">
      <formula>($F785&lt;&gt;$G785)</formula>
    </cfRule>
  </conditionalFormatting>
  <conditionalFormatting sqref="G893:G896">
    <cfRule type="expression" dxfId="113" priority="5">
      <formula>($F893&lt;&gt;$G893)</formula>
    </cfRule>
  </conditionalFormatting>
  <conditionalFormatting sqref="F893:F896">
    <cfRule type="expression" dxfId="112" priority="6">
      <formula>($F893&lt;&gt;$G893)</formula>
    </cfRule>
  </conditionalFormatting>
  <conditionalFormatting sqref="G889:G892">
    <cfRule type="expression" dxfId="111" priority="3">
      <formula>($F889&lt;&gt;$G889)</formula>
    </cfRule>
  </conditionalFormatting>
  <conditionalFormatting sqref="F889:F892">
    <cfRule type="expression" dxfId="110" priority="4">
      <formula>($F889&lt;&gt;$G889)</formula>
    </cfRule>
  </conditionalFormatting>
  <conditionalFormatting sqref="G885:G888">
    <cfRule type="expression" dxfId="109" priority="1">
      <formula>($F885&lt;&gt;$G885)</formula>
    </cfRule>
  </conditionalFormatting>
  <conditionalFormatting sqref="F885:F888">
    <cfRule type="expression" dxfId="108" priority="2">
      <formula>($F885&lt;&gt;$G885)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89.554687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2145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VLOOKUP(B4,Meta.Features!$A:$G,$C$1,FALSE)</f>
        <v>SystemicTherapy</v>
      </c>
      <c r="D4" s="44" t="str">
        <f>VLOOKUP(B4,Meta.Features!$A:$G,$D$1,FALSE)</f>
        <v>Substance</v>
      </c>
      <c r="E4" s="5">
        <v>1</v>
      </c>
      <c r="F4" s="46" t="s">
        <v>2469</v>
      </c>
      <c r="G4" s="17" t="s">
        <v>2169</v>
      </c>
    </row>
    <row r="41" ht="32.4" customHeight="1" x14ac:dyDescent="0.3"/>
    <row r="44" ht="35.4" customHeight="1" x14ac:dyDescent="0.3"/>
  </sheetData>
  <conditionalFormatting sqref="F4">
    <cfRule type="cellIs" dxfId="107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1612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1613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1613</v>
      </c>
      <c r="C5" s="5" t="s">
        <v>1573</v>
      </c>
      <c r="D5" s="5" t="s">
        <v>651</v>
      </c>
      <c r="F5" s="5">
        <v>1</v>
      </c>
      <c r="G5" s="5" t="s">
        <v>1617</v>
      </c>
    </row>
    <row r="6" spans="1:8" ht="85.8" customHeight="1" x14ac:dyDescent="0.3">
      <c r="A6" s="5" t="s">
        <v>1458</v>
      </c>
      <c r="B6" s="5" t="s">
        <v>1613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1613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1613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1613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K18"/>
  <sheetViews>
    <sheetView zoomScale="85" zoomScaleNormal="85" workbookViewId="0">
      <selection activeCell="K8" sqref="K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5" width="25.109375" style="70" customWidth="1"/>
    <col min="6" max="6" width="25.33203125" style="70" customWidth="1"/>
    <col min="7" max="7" width="32.44140625" style="70" customWidth="1"/>
    <col min="8" max="8" width="31.5546875" style="70" customWidth="1"/>
    <col min="9" max="16384" width="16.33203125" style="1"/>
  </cols>
  <sheetData>
    <row r="1" spans="1:11" s="54" customFormat="1" ht="12.6" customHeight="1" x14ac:dyDescent="0.3"/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</row>
    <row r="3" spans="1:11" s="33" customFormat="1" ht="25.2" customHeight="1" thickBot="1" x14ac:dyDescent="0.35">
      <c r="A3" s="32" t="s">
        <v>1456</v>
      </c>
      <c r="B3" s="29" t="s">
        <v>2240</v>
      </c>
      <c r="C3" s="30" t="s">
        <v>463</v>
      </c>
      <c r="D3" s="32" t="s">
        <v>2486</v>
      </c>
      <c r="E3" s="32" t="s">
        <v>2485</v>
      </c>
      <c r="F3" s="32" t="s">
        <v>2487</v>
      </c>
      <c r="G3" s="32" t="s">
        <v>2488</v>
      </c>
      <c r="H3" s="32" t="s">
        <v>2489</v>
      </c>
      <c r="I3" s="34"/>
      <c r="J3" s="34"/>
      <c r="K3" s="34"/>
    </row>
    <row r="4" spans="1:11" customFormat="1" ht="25.2" customHeight="1" x14ac:dyDescent="0.3">
      <c r="A4" s="3" t="s">
        <v>1458</v>
      </c>
      <c r="B4" s="28">
        <v>0</v>
      </c>
      <c r="C4" s="26" t="s">
        <v>2482</v>
      </c>
      <c r="D4" s="70" t="s">
        <v>651</v>
      </c>
      <c r="E4" s="70" t="s">
        <v>651</v>
      </c>
      <c r="F4" s="70" t="s">
        <v>651</v>
      </c>
      <c r="G4" s="70" t="s">
        <v>651</v>
      </c>
      <c r="H4" s="70" t="s">
        <v>651</v>
      </c>
      <c r="I4" s="1"/>
      <c r="J4" s="1"/>
      <c r="K4" s="1"/>
    </row>
    <row r="5" spans="1:1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70" t="s">
        <v>651</v>
      </c>
      <c r="E5" s="70" t="s">
        <v>651</v>
      </c>
      <c r="F5" s="70" t="s">
        <v>651</v>
      </c>
      <c r="G5" s="70" t="s">
        <v>651</v>
      </c>
      <c r="H5" s="70" t="s">
        <v>651</v>
      </c>
      <c r="I5" s="1"/>
      <c r="J5" s="1"/>
      <c r="K5" s="1"/>
    </row>
    <row r="6" spans="1:1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70" t="s">
        <v>651</v>
      </c>
      <c r="E6" s="70" t="s">
        <v>651</v>
      </c>
      <c r="F6" s="70" t="s">
        <v>651</v>
      </c>
      <c r="G6" s="70" t="s">
        <v>651</v>
      </c>
      <c r="H6" s="70" t="s">
        <v>651</v>
      </c>
      <c r="I6" s="1"/>
      <c r="J6" s="1"/>
      <c r="K6" s="1"/>
    </row>
    <row r="7" spans="1:1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70" t="s">
        <v>651</v>
      </c>
      <c r="E7" s="70" t="s">
        <v>651</v>
      </c>
      <c r="F7" s="70" t="s">
        <v>651</v>
      </c>
      <c r="G7" s="70" t="s">
        <v>651</v>
      </c>
      <c r="H7" s="70" t="s">
        <v>651</v>
      </c>
      <c r="I7" s="1"/>
      <c r="J7" s="1"/>
      <c r="K7" s="1"/>
    </row>
    <row r="8" spans="1:1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70" t="s">
        <v>651</v>
      </c>
      <c r="E8" s="70" t="s">
        <v>651</v>
      </c>
      <c r="F8" s="70" t="s">
        <v>651</v>
      </c>
      <c r="G8" s="70" t="s">
        <v>651</v>
      </c>
      <c r="H8" s="70" t="s">
        <v>651</v>
      </c>
      <c r="I8" s="1"/>
      <c r="J8" s="1"/>
      <c r="K8" s="1"/>
    </row>
    <row r="9" spans="1:1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70" t="s">
        <v>651</v>
      </c>
      <c r="E9" s="70" t="s">
        <v>651</v>
      </c>
      <c r="F9" s="70" t="s">
        <v>651</v>
      </c>
      <c r="G9" s="70" t="s">
        <v>651</v>
      </c>
      <c r="H9" s="70" t="s">
        <v>651</v>
      </c>
      <c r="I9" s="1"/>
      <c r="J9" s="1"/>
      <c r="K9" s="1"/>
    </row>
    <row r="10" spans="1:1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70" t="s">
        <v>651</v>
      </c>
      <c r="E10" s="70" t="s">
        <v>651</v>
      </c>
      <c r="F10" s="70" t="s">
        <v>651</v>
      </c>
      <c r="G10" s="70" t="s">
        <v>651</v>
      </c>
      <c r="H10" s="70" t="s">
        <v>651</v>
      </c>
      <c r="I10" s="1"/>
      <c r="J10" s="1"/>
      <c r="K10" s="1"/>
    </row>
    <row r="11" spans="1:1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70" t="s">
        <v>651</v>
      </c>
      <c r="E11" s="70" t="s">
        <v>651</v>
      </c>
      <c r="F11" s="70" t="s">
        <v>651</v>
      </c>
      <c r="G11" s="70" t="s">
        <v>651</v>
      </c>
      <c r="H11" s="70" t="s">
        <v>651</v>
      </c>
      <c r="I11" s="1"/>
      <c r="J11" s="1"/>
      <c r="K11" s="1"/>
    </row>
    <row r="12" spans="1:1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70" t="s">
        <v>651</v>
      </c>
      <c r="E12" s="70" t="s">
        <v>651</v>
      </c>
      <c r="F12" s="70" t="s">
        <v>651</v>
      </c>
      <c r="G12" s="70" t="s">
        <v>651</v>
      </c>
      <c r="H12" s="70" t="s">
        <v>651</v>
      </c>
      <c r="I12" s="1"/>
      <c r="J12" s="1"/>
      <c r="K12" s="1"/>
    </row>
    <row r="13" spans="1:1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70" t="s">
        <v>651</v>
      </c>
      <c r="E13" s="70" t="s">
        <v>651</v>
      </c>
      <c r="F13" s="70" t="s">
        <v>651</v>
      </c>
      <c r="G13" s="70" t="s">
        <v>651</v>
      </c>
      <c r="H13" s="70" t="s">
        <v>651</v>
      </c>
      <c r="I13" s="1"/>
      <c r="J13" s="1"/>
      <c r="K13" s="1"/>
    </row>
    <row r="14" spans="1:1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70" t="s">
        <v>651</v>
      </c>
      <c r="E14" s="70" t="s">
        <v>651</v>
      </c>
      <c r="F14" s="70" t="s">
        <v>651</v>
      </c>
      <c r="G14" s="70" t="s">
        <v>651</v>
      </c>
      <c r="H14" s="70" t="s">
        <v>651</v>
      </c>
      <c r="I14" s="1"/>
      <c r="J14" s="1"/>
      <c r="K14" s="1"/>
    </row>
    <row r="15" spans="1:1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70" t="s">
        <v>651</v>
      </c>
      <c r="E15" s="70" t="s">
        <v>651</v>
      </c>
      <c r="F15" s="70" t="s">
        <v>651</v>
      </c>
      <c r="G15" s="70" t="s">
        <v>651</v>
      </c>
      <c r="H15" s="70" t="s">
        <v>651</v>
      </c>
      <c r="I15" s="1"/>
      <c r="J15" s="1"/>
      <c r="K15" s="1"/>
    </row>
    <row r="16" spans="1:1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70" t="s">
        <v>651</v>
      </c>
      <c r="E16" s="70" t="s">
        <v>651</v>
      </c>
      <c r="F16" s="70" t="s">
        <v>651</v>
      </c>
      <c r="G16" s="70" t="s">
        <v>651</v>
      </c>
      <c r="H16" s="70" t="s">
        <v>651</v>
      </c>
      <c r="I16" s="1"/>
      <c r="J16" s="1"/>
      <c r="K16" s="1"/>
    </row>
    <row r="17" spans="1:1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70" t="s">
        <v>651</v>
      </c>
      <c r="E17" s="70" t="s">
        <v>651</v>
      </c>
      <c r="F17" s="70" t="s">
        <v>651</v>
      </c>
      <c r="G17" s="70" t="s">
        <v>651</v>
      </c>
      <c r="H17" s="70" t="s">
        <v>651</v>
      </c>
      <c r="I17" s="1"/>
      <c r="J17" s="1"/>
      <c r="K17" s="1"/>
    </row>
    <row r="18" spans="1:1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70" t="s">
        <v>651</v>
      </c>
      <c r="E18" s="70" t="s">
        <v>651</v>
      </c>
      <c r="F18" s="70" t="s">
        <v>651</v>
      </c>
      <c r="G18" s="70" t="s">
        <v>651</v>
      </c>
      <c r="H18" s="70" t="s">
        <v>651</v>
      </c>
      <c r="I18" s="1"/>
      <c r="J18" s="1"/>
      <c r="K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W18"/>
  <sheetViews>
    <sheetView tabSelected="1" workbookViewId="0">
      <selection activeCell="D5" sqref="D5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70" customWidth="1"/>
    <col min="5" max="5" width="24.6640625" style="70" customWidth="1"/>
    <col min="6" max="6" width="25.109375" style="70" customWidth="1"/>
    <col min="7" max="7" width="25.33203125" style="70" customWidth="1"/>
    <col min="8" max="8" width="21.88671875" style="70" customWidth="1"/>
    <col min="9" max="9" width="23.33203125" style="70" customWidth="1"/>
    <col min="10" max="10" width="25.21875" style="70" customWidth="1"/>
    <col min="11" max="11" width="24.21875" style="70" customWidth="1"/>
    <col min="12" max="12" width="25.21875" style="70" customWidth="1"/>
    <col min="13" max="14" width="33.44140625" style="70" customWidth="1"/>
    <col min="15" max="15" width="16.33203125" style="1"/>
    <col min="16" max="16" width="48.21875" style="1" customWidth="1"/>
    <col min="17" max="17" width="23.21875" style="1" customWidth="1"/>
    <col min="18" max="16384" width="16.33203125" style="1"/>
  </cols>
  <sheetData>
    <row r="1" spans="1:23" s="54" customFormat="1" ht="12.6" customHeight="1" x14ac:dyDescent="0.3">
      <c r="R1" s="55"/>
    </row>
    <row r="2" spans="1:23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  <c r="J2" s="51" t="s">
        <v>1540</v>
      </c>
      <c r="K2" s="51" t="s">
        <v>1438</v>
      </c>
      <c r="L2" s="51" t="s">
        <v>1438</v>
      </c>
      <c r="M2" s="51" t="s">
        <v>1438</v>
      </c>
      <c r="N2" s="51" t="s">
        <v>1438</v>
      </c>
    </row>
    <row r="3" spans="1:23" s="33" customFormat="1" ht="25.2" customHeight="1" thickBot="1" x14ac:dyDescent="0.35">
      <c r="A3" s="32" t="s">
        <v>1456</v>
      </c>
      <c r="B3" s="29" t="s">
        <v>2240</v>
      </c>
      <c r="C3" s="30" t="s">
        <v>463</v>
      </c>
      <c r="D3" s="32" t="s">
        <v>2483</v>
      </c>
      <c r="E3" s="32" t="s">
        <v>2484</v>
      </c>
      <c r="F3" s="32" t="s">
        <v>2473</v>
      </c>
      <c r="G3" s="32" t="s">
        <v>2474</v>
      </c>
      <c r="H3" s="32" t="s">
        <v>2475</v>
      </c>
      <c r="I3" s="32" t="s">
        <v>2476</v>
      </c>
      <c r="J3" s="32" t="s">
        <v>2477</v>
      </c>
      <c r="K3" s="32" t="s">
        <v>2478</v>
      </c>
      <c r="L3" s="32" t="s">
        <v>2479</v>
      </c>
      <c r="M3" s="32" t="s">
        <v>2480</v>
      </c>
      <c r="N3" s="32" t="s">
        <v>2481</v>
      </c>
      <c r="O3" s="34"/>
      <c r="P3" s="34"/>
      <c r="Q3" s="34"/>
      <c r="R3" s="34"/>
      <c r="S3" s="34"/>
      <c r="T3" s="34"/>
      <c r="U3" s="34"/>
      <c r="V3" s="34"/>
      <c r="W3" s="34"/>
    </row>
    <row r="4" spans="1:23" customFormat="1" ht="25.2" customHeight="1" x14ac:dyDescent="0.3">
      <c r="A4" s="3" t="s">
        <v>1458</v>
      </c>
      <c r="B4" s="28">
        <v>0</v>
      </c>
      <c r="C4" s="26" t="s">
        <v>2482</v>
      </c>
      <c r="D4" s="70" t="s">
        <v>1570</v>
      </c>
      <c r="E4" s="70" t="s">
        <v>1570</v>
      </c>
      <c r="F4" s="70" t="s">
        <v>651</v>
      </c>
      <c r="G4" s="70" t="s">
        <v>651</v>
      </c>
      <c r="H4" s="70" t="s">
        <v>651</v>
      </c>
      <c r="I4" s="70" t="s">
        <v>651</v>
      </c>
      <c r="J4" s="70" t="s">
        <v>1570</v>
      </c>
      <c r="K4" s="70" t="s">
        <v>651</v>
      </c>
      <c r="L4" s="70" t="s">
        <v>651</v>
      </c>
      <c r="M4" s="70" t="s">
        <v>651</v>
      </c>
      <c r="N4" s="70" t="s">
        <v>651</v>
      </c>
      <c r="O4" s="1"/>
      <c r="P4" s="1"/>
      <c r="Q4" s="1"/>
      <c r="R4" s="1"/>
      <c r="S4" s="1"/>
      <c r="T4" s="1"/>
      <c r="U4" s="1"/>
      <c r="V4" s="1"/>
      <c r="W4" s="1"/>
    </row>
    <row r="5" spans="1:23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70" t="s">
        <v>651</v>
      </c>
      <c r="E5" s="70" t="s">
        <v>651</v>
      </c>
      <c r="F5" s="70" t="s">
        <v>651</v>
      </c>
      <c r="G5" s="70" t="s">
        <v>651</v>
      </c>
      <c r="H5" s="70" t="s">
        <v>651</v>
      </c>
      <c r="I5" s="70" t="s">
        <v>651</v>
      </c>
      <c r="J5" s="70" t="s">
        <v>1570</v>
      </c>
      <c r="K5" s="70" t="s">
        <v>651</v>
      </c>
      <c r="L5" s="70" t="s">
        <v>651</v>
      </c>
      <c r="M5" s="70" t="s">
        <v>651</v>
      </c>
      <c r="N5" s="70" t="s">
        <v>651</v>
      </c>
      <c r="O5" s="1"/>
      <c r="P5" s="1"/>
      <c r="Q5" s="1"/>
      <c r="R5" s="1"/>
      <c r="S5" s="1"/>
      <c r="T5" s="1"/>
      <c r="U5" s="1"/>
      <c r="V5" s="1"/>
      <c r="W5" s="1"/>
    </row>
    <row r="6" spans="1:23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70" t="s">
        <v>651</v>
      </c>
      <c r="E6" s="70" t="s">
        <v>651</v>
      </c>
      <c r="F6" s="70" t="s">
        <v>651</v>
      </c>
      <c r="G6" s="70" t="s">
        <v>651</v>
      </c>
      <c r="H6" s="70" t="s">
        <v>651</v>
      </c>
      <c r="I6" s="70" t="s">
        <v>651</v>
      </c>
      <c r="J6" s="70" t="s">
        <v>1570</v>
      </c>
      <c r="K6" s="70" t="s">
        <v>651</v>
      </c>
      <c r="L6" s="70" t="s">
        <v>651</v>
      </c>
      <c r="M6" s="70" t="s">
        <v>651</v>
      </c>
      <c r="N6" s="70" t="s">
        <v>651</v>
      </c>
      <c r="O6" s="1"/>
      <c r="P6" s="1"/>
      <c r="Q6" s="1"/>
      <c r="R6" s="1"/>
      <c r="S6" s="1"/>
      <c r="T6" s="1"/>
      <c r="U6" s="1"/>
      <c r="V6" s="1"/>
      <c r="W6" s="1"/>
    </row>
    <row r="7" spans="1:23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70" t="s">
        <v>651</v>
      </c>
      <c r="E7" s="70" t="s">
        <v>651</v>
      </c>
      <c r="F7" s="70" t="s">
        <v>651</v>
      </c>
      <c r="G7" s="70" t="s">
        <v>651</v>
      </c>
      <c r="H7" s="70" t="s">
        <v>651</v>
      </c>
      <c r="I7" s="70" t="s">
        <v>651</v>
      </c>
      <c r="J7" s="70" t="s">
        <v>1570</v>
      </c>
      <c r="K7" s="70" t="s">
        <v>651</v>
      </c>
      <c r="L7" s="70" t="s">
        <v>651</v>
      </c>
      <c r="M7" s="70" t="s">
        <v>651</v>
      </c>
      <c r="N7" s="70" t="s">
        <v>651</v>
      </c>
      <c r="O7" s="1"/>
      <c r="P7" s="1"/>
      <c r="Q7" s="1"/>
      <c r="R7" s="1"/>
      <c r="S7" s="1"/>
      <c r="T7" s="1"/>
      <c r="U7" s="1"/>
      <c r="V7" s="1"/>
      <c r="W7" s="1"/>
    </row>
    <row r="8" spans="1:23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70" t="s">
        <v>651</v>
      </c>
      <c r="E8" s="70" t="s">
        <v>651</v>
      </c>
      <c r="F8" s="70" t="s">
        <v>651</v>
      </c>
      <c r="G8" s="70" t="s">
        <v>651</v>
      </c>
      <c r="H8" s="70" t="s">
        <v>651</v>
      </c>
      <c r="I8" s="70" t="s">
        <v>651</v>
      </c>
      <c r="J8" s="70" t="s">
        <v>1570</v>
      </c>
      <c r="K8" s="70" t="s">
        <v>651</v>
      </c>
      <c r="L8" s="70" t="s">
        <v>651</v>
      </c>
      <c r="M8" s="70" t="s">
        <v>651</v>
      </c>
      <c r="N8" s="70" t="s">
        <v>651</v>
      </c>
      <c r="O8" s="1"/>
      <c r="P8" s="1"/>
      <c r="Q8" s="1"/>
      <c r="R8" s="1"/>
      <c r="S8" s="1"/>
      <c r="T8" s="1"/>
      <c r="U8" s="1"/>
      <c r="V8" s="1"/>
      <c r="W8" s="1"/>
    </row>
    <row r="9" spans="1:23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70" t="s">
        <v>651</v>
      </c>
      <c r="E9" s="70" t="s">
        <v>651</v>
      </c>
      <c r="F9" s="70" t="s">
        <v>651</v>
      </c>
      <c r="G9" s="70" t="s">
        <v>651</v>
      </c>
      <c r="H9" s="70" t="s">
        <v>651</v>
      </c>
      <c r="I9" s="70" t="s">
        <v>651</v>
      </c>
      <c r="J9" s="70" t="s">
        <v>1570</v>
      </c>
      <c r="K9" s="70" t="s">
        <v>651</v>
      </c>
      <c r="L9" s="70" t="s">
        <v>651</v>
      </c>
      <c r="M9" s="70" t="s">
        <v>651</v>
      </c>
      <c r="N9" s="70" t="s">
        <v>651</v>
      </c>
      <c r="O9" s="1"/>
      <c r="P9" s="1"/>
      <c r="Q9" s="1"/>
      <c r="R9" s="1"/>
      <c r="S9" s="1"/>
      <c r="T9" s="1"/>
      <c r="U9" s="1"/>
      <c r="V9" s="1"/>
      <c r="W9" s="1"/>
    </row>
    <row r="10" spans="1:23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70" t="s">
        <v>651</v>
      </c>
      <c r="E10" s="70" t="s">
        <v>651</v>
      </c>
      <c r="F10" s="70" t="s">
        <v>651</v>
      </c>
      <c r="G10" s="70" t="s">
        <v>651</v>
      </c>
      <c r="H10" s="70" t="s">
        <v>651</v>
      </c>
      <c r="I10" s="70" t="s">
        <v>651</v>
      </c>
      <c r="J10" s="70" t="s">
        <v>1570</v>
      </c>
      <c r="K10" s="70" t="s">
        <v>651</v>
      </c>
      <c r="L10" s="70" t="s">
        <v>651</v>
      </c>
      <c r="M10" s="70" t="s">
        <v>651</v>
      </c>
      <c r="N10" s="70" t="s">
        <v>651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70" t="s">
        <v>651</v>
      </c>
      <c r="E11" s="70" t="s">
        <v>651</v>
      </c>
      <c r="F11" s="70" t="s">
        <v>651</v>
      </c>
      <c r="G11" s="70" t="s">
        <v>651</v>
      </c>
      <c r="H11" s="70" t="s">
        <v>651</v>
      </c>
      <c r="I11" s="70" t="s">
        <v>651</v>
      </c>
      <c r="J11" s="70" t="s">
        <v>1570</v>
      </c>
      <c r="K11" s="70" t="s">
        <v>651</v>
      </c>
      <c r="L11" s="70" t="s">
        <v>651</v>
      </c>
      <c r="M11" s="70" t="s">
        <v>651</v>
      </c>
      <c r="N11" s="70" t="s">
        <v>651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70" t="s">
        <v>651</v>
      </c>
      <c r="E12" s="70" t="s">
        <v>651</v>
      </c>
      <c r="F12" s="70" t="s">
        <v>651</v>
      </c>
      <c r="G12" s="70" t="s">
        <v>651</v>
      </c>
      <c r="H12" s="70" t="s">
        <v>651</v>
      </c>
      <c r="I12" s="70" t="s">
        <v>651</v>
      </c>
      <c r="J12" s="70" t="s">
        <v>1570</v>
      </c>
      <c r="K12" s="70" t="s">
        <v>651</v>
      </c>
      <c r="L12" s="70" t="s">
        <v>651</v>
      </c>
      <c r="M12" s="70" t="s">
        <v>651</v>
      </c>
      <c r="N12" s="70" t="s">
        <v>651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70" t="s">
        <v>651</v>
      </c>
      <c r="E13" s="70" t="s">
        <v>651</v>
      </c>
      <c r="F13" s="70" t="s">
        <v>651</v>
      </c>
      <c r="G13" s="70" t="s">
        <v>651</v>
      </c>
      <c r="H13" s="70" t="s">
        <v>651</v>
      </c>
      <c r="I13" s="70" t="s">
        <v>651</v>
      </c>
      <c r="J13" s="70" t="s">
        <v>1570</v>
      </c>
      <c r="K13" s="70" t="s">
        <v>651</v>
      </c>
      <c r="L13" s="70" t="s">
        <v>651</v>
      </c>
      <c r="M13" s="70" t="s">
        <v>651</v>
      </c>
      <c r="N13" s="70" t="s">
        <v>651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70" t="s">
        <v>651</v>
      </c>
      <c r="E14" s="70" t="s">
        <v>651</v>
      </c>
      <c r="F14" s="70" t="s">
        <v>651</v>
      </c>
      <c r="G14" s="70" t="s">
        <v>651</v>
      </c>
      <c r="H14" s="70" t="s">
        <v>651</v>
      </c>
      <c r="I14" s="70" t="s">
        <v>651</v>
      </c>
      <c r="J14" s="70" t="s">
        <v>1570</v>
      </c>
      <c r="K14" s="70" t="s">
        <v>651</v>
      </c>
      <c r="L14" s="70" t="s">
        <v>651</v>
      </c>
      <c r="M14" s="70" t="s">
        <v>651</v>
      </c>
      <c r="N14" s="70" t="s">
        <v>651</v>
      </c>
      <c r="O14" s="1"/>
      <c r="P14" s="1"/>
      <c r="Q14" s="1"/>
      <c r="R14" s="1"/>
      <c r="S14" s="1"/>
      <c r="T14" s="1"/>
      <c r="U14" s="1"/>
      <c r="V14" s="1"/>
      <c r="W14" s="1"/>
    </row>
    <row r="15" spans="1:23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70" t="s">
        <v>651</v>
      </c>
      <c r="E15" s="70" t="s">
        <v>651</v>
      </c>
      <c r="F15" s="70" t="s">
        <v>651</v>
      </c>
      <c r="G15" s="70" t="s">
        <v>651</v>
      </c>
      <c r="H15" s="70" t="s">
        <v>651</v>
      </c>
      <c r="I15" s="70" t="s">
        <v>651</v>
      </c>
      <c r="J15" s="70" t="s">
        <v>1570</v>
      </c>
      <c r="K15" s="70" t="s">
        <v>651</v>
      </c>
      <c r="L15" s="70" t="s">
        <v>651</v>
      </c>
      <c r="M15" s="70" t="s">
        <v>651</v>
      </c>
      <c r="N15" s="70" t="s">
        <v>651</v>
      </c>
      <c r="O15" s="1"/>
      <c r="P15" s="1"/>
      <c r="Q15" s="1"/>
      <c r="R15" s="1"/>
      <c r="S15" s="1"/>
      <c r="T15" s="1"/>
      <c r="U15" s="1"/>
      <c r="V15" s="1"/>
      <c r="W15" s="1"/>
    </row>
    <row r="16" spans="1:23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70" t="s">
        <v>651</v>
      </c>
      <c r="E16" s="70" t="s">
        <v>651</v>
      </c>
      <c r="F16" s="70" t="s">
        <v>651</v>
      </c>
      <c r="G16" s="70" t="s">
        <v>651</v>
      </c>
      <c r="H16" s="70" t="s">
        <v>651</v>
      </c>
      <c r="I16" s="70" t="s">
        <v>651</v>
      </c>
      <c r="J16" s="70" t="s">
        <v>1570</v>
      </c>
      <c r="K16" s="70" t="s">
        <v>651</v>
      </c>
      <c r="L16" s="70" t="s">
        <v>651</v>
      </c>
      <c r="M16" s="70" t="s">
        <v>651</v>
      </c>
      <c r="N16" s="70" t="s">
        <v>651</v>
      </c>
      <c r="O16" s="1"/>
      <c r="P16" s="1"/>
      <c r="Q16" s="1"/>
      <c r="R16" s="1"/>
      <c r="S16" s="1"/>
      <c r="T16" s="1"/>
      <c r="U16" s="1"/>
      <c r="V16" s="1"/>
      <c r="W16" s="1"/>
    </row>
    <row r="17" spans="1:23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70" t="s">
        <v>651</v>
      </c>
      <c r="E17" s="70" t="s">
        <v>651</v>
      </c>
      <c r="F17" s="70" t="s">
        <v>651</v>
      </c>
      <c r="G17" s="70" t="s">
        <v>651</v>
      </c>
      <c r="H17" s="70" t="s">
        <v>651</v>
      </c>
      <c r="I17" s="70" t="s">
        <v>651</v>
      </c>
      <c r="J17" s="70" t="s">
        <v>1570</v>
      </c>
      <c r="K17" s="70" t="s">
        <v>651</v>
      </c>
      <c r="L17" s="70" t="s">
        <v>651</v>
      </c>
      <c r="M17" s="70" t="s">
        <v>651</v>
      </c>
      <c r="N17" s="70" t="s">
        <v>651</v>
      </c>
      <c r="O17" s="1"/>
      <c r="P17" s="1"/>
      <c r="Q17" s="1"/>
      <c r="R17" s="1"/>
      <c r="S17" s="1"/>
      <c r="T17" s="1"/>
      <c r="U17" s="1"/>
      <c r="V17" s="1"/>
      <c r="W17" s="1"/>
    </row>
    <row r="18" spans="1:23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70" t="s">
        <v>651</v>
      </c>
      <c r="E18" s="70" t="s">
        <v>651</v>
      </c>
      <c r="F18" s="70" t="s">
        <v>651</v>
      </c>
      <c r="G18" s="70" t="s">
        <v>651</v>
      </c>
      <c r="H18" s="70" t="s">
        <v>651</v>
      </c>
      <c r="I18" s="70" t="s">
        <v>651</v>
      </c>
      <c r="J18" s="70" t="s">
        <v>1570</v>
      </c>
      <c r="K18" s="70" t="s">
        <v>651</v>
      </c>
      <c r="L18" s="70" t="s">
        <v>651</v>
      </c>
      <c r="M18" s="70" t="s">
        <v>651</v>
      </c>
      <c r="N18" s="70" t="s">
        <v>651</v>
      </c>
      <c r="O18" s="1"/>
      <c r="P18" s="1"/>
      <c r="Q18" s="1"/>
      <c r="R18" s="1"/>
      <c r="S18" s="1"/>
      <c r="T18" s="1"/>
      <c r="U18" s="1"/>
      <c r="V18" s="1"/>
      <c r="W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S18"/>
  <sheetViews>
    <sheetView workbookViewId="0">
      <selection activeCell="E9" sqref="E9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1.88671875" style="70" customWidth="1"/>
    <col min="5" max="5" width="23.33203125" style="70" customWidth="1"/>
    <col min="6" max="6" width="25.21875" style="70" customWidth="1"/>
    <col min="7" max="7" width="24.21875" style="70" customWidth="1"/>
    <col min="8" max="8" width="25.21875" style="70" customWidth="1"/>
    <col min="9" max="10" width="33.44140625" style="70" customWidth="1"/>
    <col min="11" max="11" width="16.33203125" style="1"/>
    <col min="12" max="12" width="48.21875" style="1" customWidth="1"/>
    <col min="13" max="13" width="23.21875" style="1" customWidth="1"/>
    <col min="14" max="16384" width="16.33203125" style="1"/>
  </cols>
  <sheetData>
    <row r="1" spans="1:19" s="54" customFormat="1" ht="12.6" customHeight="1" x14ac:dyDescent="0.3">
      <c r="N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1540</v>
      </c>
      <c r="G2" s="51" t="s">
        <v>1438</v>
      </c>
      <c r="H2" s="51" t="s">
        <v>1438</v>
      </c>
      <c r="I2" s="51" t="s">
        <v>1438</v>
      </c>
      <c r="J2" s="51" t="s">
        <v>1438</v>
      </c>
    </row>
    <row r="3" spans="1:19" s="33" customFormat="1" ht="25.2" customHeight="1" thickBot="1" x14ac:dyDescent="0.35">
      <c r="A3" s="32" t="s">
        <v>1456</v>
      </c>
      <c r="B3" s="29" t="s">
        <v>2240</v>
      </c>
      <c r="C3" s="30" t="s">
        <v>463</v>
      </c>
      <c r="D3" s="32" t="s">
        <v>2475</v>
      </c>
      <c r="E3" s="32" t="s">
        <v>2476</v>
      </c>
      <c r="F3" s="32" t="s">
        <v>2477</v>
      </c>
      <c r="G3" s="32" t="s">
        <v>2478</v>
      </c>
      <c r="H3" s="32" t="s">
        <v>2479</v>
      </c>
      <c r="I3" s="32" t="s">
        <v>2480</v>
      </c>
      <c r="J3" s="32" t="s">
        <v>2481</v>
      </c>
      <c r="K3" s="34"/>
      <c r="L3" s="34"/>
      <c r="M3" s="34"/>
      <c r="N3" s="34"/>
      <c r="O3" s="34"/>
      <c r="P3" s="34"/>
      <c r="Q3" s="34"/>
      <c r="R3" s="34"/>
      <c r="S3" s="34"/>
    </row>
    <row r="4" spans="1:19" customFormat="1" ht="25.2" customHeight="1" x14ac:dyDescent="0.3">
      <c r="A4" s="3" t="s">
        <v>1458</v>
      </c>
      <c r="B4" s="28">
        <v>0</v>
      </c>
      <c r="C4" s="26" t="s">
        <v>2482</v>
      </c>
      <c r="D4" s="70" t="s">
        <v>651</v>
      </c>
      <c r="E4" s="70" t="s">
        <v>651</v>
      </c>
      <c r="F4" s="70" t="s">
        <v>1570</v>
      </c>
      <c r="G4" s="70" t="s">
        <v>651</v>
      </c>
      <c r="H4" s="70" t="s">
        <v>651</v>
      </c>
      <c r="I4" s="70" t="s">
        <v>651</v>
      </c>
      <c r="J4" s="70" t="s">
        <v>651</v>
      </c>
      <c r="K4" s="1"/>
      <c r="L4" s="1"/>
      <c r="M4" s="1"/>
      <c r="N4" s="1"/>
      <c r="O4" s="1"/>
      <c r="P4" s="1"/>
      <c r="Q4" s="1"/>
      <c r="R4" s="1"/>
      <c r="S4" s="1"/>
    </row>
    <row r="5" spans="1:19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70" t="s">
        <v>651</v>
      </c>
      <c r="E5" s="70" t="s">
        <v>651</v>
      </c>
      <c r="F5" s="70" t="s">
        <v>1570</v>
      </c>
      <c r="G5" s="70" t="s">
        <v>651</v>
      </c>
      <c r="H5" s="70" t="s">
        <v>651</v>
      </c>
      <c r="I5" s="70" t="s">
        <v>651</v>
      </c>
      <c r="J5" s="70" t="s">
        <v>651</v>
      </c>
      <c r="K5" s="1"/>
      <c r="L5" s="1"/>
      <c r="M5" s="1"/>
      <c r="N5" s="1"/>
      <c r="O5" s="1"/>
      <c r="P5" s="1"/>
      <c r="Q5" s="1"/>
      <c r="R5" s="1"/>
      <c r="S5" s="1"/>
    </row>
    <row r="6" spans="1:19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70" t="s">
        <v>651</v>
      </c>
      <c r="E6" s="70" t="s">
        <v>651</v>
      </c>
      <c r="F6" s="70" t="s">
        <v>1570</v>
      </c>
      <c r="G6" s="70" t="s">
        <v>651</v>
      </c>
      <c r="H6" s="70" t="s">
        <v>651</v>
      </c>
      <c r="I6" s="70" t="s">
        <v>651</v>
      </c>
      <c r="J6" s="70" t="s">
        <v>651</v>
      </c>
      <c r="K6" s="1"/>
      <c r="L6" s="1"/>
      <c r="M6" s="1"/>
      <c r="N6" s="1"/>
      <c r="O6" s="1"/>
      <c r="P6" s="1"/>
      <c r="Q6" s="1"/>
      <c r="R6" s="1"/>
      <c r="S6" s="1"/>
    </row>
    <row r="7" spans="1:19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70" t="s">
        <v>651</v>
      </c>
      <c r="E7" s="70" t="s">
        <v>651</v>
      </c>
      <c r="F7" s="70" t="s">
        <v>1570</v>
      </c>
      <c r="G7" s="70" t="s">
        <v>651</v>
      </c>
      <c r="H7" s="70" t="s">
        <v>651</v>
      </c>
      <c r="I7" s="70" t="s">
        <v>651</v>
      </c>
      <c r="J7" s="70" t="s">
        <v>651</v>
      </c>
      <c r="K7" s="1"/>
      <c r="L7" s="1"/>
      <c r="M7" s="1"/>
      <c r="N7" s="1"/>
      <c r="O7" s="1"/>
      <c r="P7" s="1"/>
      <c r="Q7" s="1"/>
      <c r="R7" s="1"/>
      <c r="S7" s="1"/>
    </row>
    <row r="8" spans="1:19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70" t="s">
        <v>651</v>
      </c>
      <c r="E8" s="70" t="s">
        <v>651</v>
      </c>
      <c r="F8" s="70" t="s">
        <v>1570</v>
      </c>
      <c r="G8" s="70" t="s">
        <v>651</v>
      </c>
      <c r="H8" s="70" t="s">
        <v>651</v>
      </c>
      <c r="I8" s="70" t="s">
        <v>651</v>
      </c>
      <c r="J8" s="70" t="s">
        <v>651</v>
      </c>
      <c r="K8" s="1"/>
      <c r="L8" s="1"/>
      <c r="M8" s="1"/>
      <c r="N8" s="1"/>
      <c r="O8" s="1"/>
      <c r="P8" s="1"/>
      <c r="Q8" s="1"/>
      <c r="R8" s="1"/>
      <c r="S8" s="1"/>
    </row>
    <row r="9" spans="1:19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70" t="s">
        <v>651</v>
      </c>
      <c r="E9" s="70" t="s">
        <v>651</v>
      </c>
      <c r="F9" s="70" t="s">
        <v>1570</v>
      </c>
      <c r="G9" s="70" t="s">
        <v>651</v>
      </c>
      <c r="H9" s="70" t="s">
        <v>651</v>
      </c>
      <c r="I9" s="70" t="s">
        <v>651</v>
      </c>
      <c r="J9" s="70" t="s">
        <v>651</v>
      </c>
      <c r="K9" s="1"/>
      <c r="L9" s="1"/>
      <c r="M9" s="1"/>
      <c r="N9" s="1"/>
      <c r="O9" s="1"/>
      <c r="P9" s="1"/>
      <c r="Q9" s="1"/>
      <c r="R9" s="1"/>
      <c r="S9" s="1"/>
    </row>
    <row r="10" spans="1:19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70" t="s">
        <v>651</v>
      </c>
      <c r="E10" s="70" t="s">
        <v>651</v>
      </c>
      <c r="F10" s="70" t="s">
        <v>1570</v>
      </c>
      <c r="G10" s="70" t="s">
        <v>651</v>
      </c>
      <c r="H10" s="70" t="s">
        <v>651</v>
      </c>
      <c r="I10" s="70" t="s">
        <v>651</v>
      </c>
      <c r="J10" s="70" t="s">
        <v>651</v>
      </c>
      <c r="K10" s="1"/>
      <c r="L10" s="1"/>
      <c r="M10" s="1"/>
      <c r="N10" s="1"/>
      <c r="O10" s="1"/>
      <c r="P10" s="1"/>
      <c r="Q10" s="1"/>
      <c r="R10" s="1"/>
      <c r="S10" s="1"/>
    </row>
    <row r="11" spans="1:19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70" t="s">
        <v>651</v>
      </c>
      <c r="E11" s="70" t="s">
        <v>651</v>
      </c>
      <c r="F11" s="70" t="s">
        <v>1570</v>
      </c>
      <c r="G11" s="70" t="s">
        <v>651</v>
      </c>
      <c r="H11" s="70" t="s">
        <v>651</v>
      </c>
      <c r="I11" s="70" t="s">
        <v>651</v>
      </c>
      <c r="J11" s="70" t="s">
        <v>651</v>
      </c>
      <c r="K11" s="1"/>
      <c r="L11" s="1"/>
      <c r="M11" s="1"/>
      <c r="N11" s="1"/>
      <c r="O11" s="1"/>
      <c r="P11" s="1"/>
      <c r="Q11" s="1"/>
      <c r="R11" s="1"/>
      <c r="S11" s="1"/>
    </row>
    <row r="12" spans="1:19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70" t="s">
        <v>651</v>
      </c>
      <c r="E12" s="70" t="s">
        <v>651</v>
      </c>
      <c r="F12" s="70" t="s">
        <v>1570</v>
      </c>
      <c r="G12" s="70" t="s">
        <v>651</v>
      </c>
      <c r="H12" s="70" t="s">
        <v>651</v>
      </c>
      <c r="I12" s="70" t="s">
        <v>651</v>
      </c>
      <c r="J12" s="70" t="s">
        <v>651</v>
      </c>
      <c r="K12" s="1"/>
      <c r="L12" s="1"/>
      <c r="M12" s="1"/>
      <c r="N12" s="1"/>
      <c r="O12" s="1"/>
      <c r="P12" s="1"/>
      <c r="Q12" s="1"/>
      <c r="R12" s="1"/>
      <c r="S12" s="1"/>
    </row>
    <row r="13" spans="1:19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70" t="s">
        <v>651</v>
      </c>
      <c r="E13" s="70" t="s">
        <v>651</v>
      </c>
      <c r="F13" s="70" t="s">
        <v>1570</v>
      </c>
      <c r="G13" s="70" t="s">
        <v>651</v>
      </c>
      <c r="H13" s="70" t="s">
        <v>651</v>
      </c>
      <c r="I13" s="70" t="s">
        <v>651</v>
      </c>
      <c r="J13" s="70" t="s">
        <v>651</v>
      </c>
      <c r="K13" s="1"/>
      <c r="L13" s="1"/>
      <c r="M13" s="1"/>
      <c r="N13" s="1"/>
      <c r="O13" s="1"/>
      <c r="P13" s="1"/>
      <c r="Q13" s="1"/>
      <c r="R13" s="1"/>
      <c r="S13" s="1"/>
    </row>
    <row r="14" spans="1:19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70" t="s">
        <v>651</v>
      </c>
      <c r="E14" s="70" t="s">
        <v>651</v>
      </c>
      <c r="F14" s="70" t="s">
        <v>1570</v>
      </c>
      <c r="G14" s="70" t="s">
        <v>651</v>
      </c>
      <c r="H14" s="70" t="s">
        <v>651</v>
      </c>
      <c r="I14" s="70" t="s">
        <v>651</v>
      </c>
      <c r="J14" s="70" t="s">
        <v>651</v>
      </c>
      <c r="K14" s="1"/>
      <c r="L14" s="1"/>
      <c r="M14" s="1"/>
      <c r="N14" s="1"/>
      <c r="O14" s="1"/>
      <c r="P14" s="1"/>
      <c r="Q14" s="1"/>
      <c r="R14" s="1"/>
      <c r="S14" s="1"/>
    </row>
    <row r="15" spans="1:19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70" t="s">
        <v>651</v>
      </c>
      <c r="E15" s="70" t="s">
        <v>651</v>
      </c>
      <c r="F15" s="70" t="s">
        <v>1570</v>
      </c>
      <c r="G15" s="70" t="s">
        <v>651</v>
      </c>
      <c r="H15" s="70" t="s">
        <v>651</v>
      </c>
      <c r="I15" s="70" t="s">
        <v>651</v>
      </c>
      <c r="J15" s="70" t="s">
        <v>651</v>
      </c>
      <c r="K15" s="1"/>
      <c r="L15" s="1"/>
      <c r="M15" s="1"/>
      <c r="N15" s="1"/>
      <c r="O15" s="1"/>
      <c r="P15" s="1"/>
      <c r="Q15" s="1"/>
      <c r="R15" s="1"/>
      <c r="S15" s="1"/>
    </row>
    <row r="16" spans="1:19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70" t="s">
        <v>651</v>
      </c>
      <c r="E16" s="70" t="s">
        <v>651</v>
      </c>
      <c r="F16" s="70" t="s">
        <v>1570</v>
      </c>
      <c r="G16" s="70" t="s">
        <v>651</v>
      </c>
      <c r="H16" s="70" t="s">
        <v>651</v>
      </c>
      <c r="I16" s="70" t="s">
        <v>651</v>
      </c>
      <c r="J16" s="70" t="s">
        <v>651</v>
      </c>
      <c r="K16" s="1"/>
      <c r="L16" s="1"/>
      <c r="M16" s="1"/>
      <c r="N16" s="1"/>
      <c r="O16" s="1"/>
      <c r="P16" s="1"/>
      <c r="Q16" s="1"/>
      <c r="R16" s="1"/>
      <c r="S16" s="1"/>
    </row>
    <row r="17" spans="1:19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70" t="s">
        <v>651</v>
      </c>
      <c r="E17" s="70" t="s">
        <v>651</v>
      </c>
      <c r="F17" s="70" t="s">
        <v>1570</v>
      </c>
      <c r="G17" s="70" t="s">
        <v>651</v>
      </c>
      <c r="H17" s="70" t="s">
        <v>651</v>
      </c>
      <c r="I17" s="70" t="s">
        <v>651</v>
      </c>
      <c r="J17" s="70" t="s">
        <v>651</v>
      </c>
      <c r="K17" s="1"/>
      <c r="L17" s="1"/>
      <c r="M17" s="1"/>
      <c r="N17" s="1"/>
      <c r="O17" s="1"/>
      <c r="P17" s="1"/>
      <c r="Q17" s="1"/>
      <c r="R17" s="1"/>
      <c r="S17" s="1"/>
    </row>
    <row r="18" spans="1:19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70" t="s">
        <v>651</v>
      </c>
      <c r="E18" s="70" t="s">
        <v>651</v>
      </c>
      <c r="F18" s="70" t="s">
        <v>1570</v>
      </c>
      <c r="G18" s="70" t="s">
        <v>651</v>
      </c>
      <c r="H18" s="70" t="s">
        <v>651</v>
      </c>
      <c r="I18" s="70" t="s">
        <v>651</v>
      </c>
      <c r="J18" s="70" t="s">
        <v>651</v>
      </c>
      <c r="K18" s="1"/>
      <c r="L18" s="1"/>
      <c r="M18" s="1"/>
      <c r="N18" s="1"/>
      <c r="O18" s="1"/>
      <c r="P18" s="1"/>
      <c r="Q18" s="1"/>
      <c r="R18" s="1"/>
      <c r="S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8" sqref="H8"/>
    </sheetView>
  </sheetViews>
  <sheetFormatPr baseColWidth="10" defaultColWidth="16.33203125" defaultRowHeight="25.2" customHeight="1" x14ac:dyDescent="0.3"/>
  <cols>
    <col min="1" max="1" width="16.33203125" style="69"/>
    <col min="2" max="2" width="12.6640625" style="28" customWidth="1"/>
    <col min="3" max="3" width="23.33203125" style="26" customWidth="1"/>
    <col min="4" max="4" width="25.88671875" style="66" customWidth="1"/>
    <col min="5" max="5" width="14.44140625" style="66" customWidth="1"/>
    <col min="6" max="6" width="12.6640625" style="66" customWidth="1"/>
    <col min="7" max="7" width="32.4414062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67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68" t="s">
        <v>1540</v>
      </c>
      <c r="E2" s="51" t="s">
        <v>1540</v>
      </c>
      <c r="F2" s="51" t="s">
        <v>1540</v>
      </c>
      <c r="G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2472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69" t="s">
        <v>1458</v>
      </c>
      <c r="B4" s="28">
        <v>1</v>
      </c>
      <c r="C4" s="26" t="str">
        <f>VLOOKUP(B4,Meta.Features!$A:$G,$C$1,FALSE)</f>
        <v>BioSampling</v>
      </c>
      <c r="D4" s="66" t="str">
        <f>VLOOKUP(B4,Meta.Features!$A:$G,$D$1,FALSE)</f>
        <v>SampleID</v>
      </c>
      <c r="E4" s="66" t="str">
        <f>VLOOKUP(B4,Meta.Features!$A:$K,$E$1,FALSE)</f>
        <v>character</v>
      </c>
      <c r="F4" s="66" t="str">
        <f>VLOOKUP(B4,Meta.Features!$A:$K,$F$1,FALSE)</f>
        <v>Nominal</v>
      </c>
      <c r="G4" s="3" t="s">
        <v>1570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69" t="s">
        <v>1458</v>
      </c>
      <c r="B5" s="28">
        <v>2</v>
      </c>
      <c r="C5" s="26" t="str">
        <f>VLOOKUP(B5,Meta.Features!$A:$G,$C$1,FALSE)</f>
        <v>BioSampling</v>
      </c>
      <c r="D5" s="66" t="str">
        <f>VLOOKUP(B5,Meta.Features!$A:$G,$D$1,FALSE)</f>
        <v>PatientID</v>
      </c>
      <c r="E5" s="66" t="str">
        <f>VLOOKUP(B5,Meta.Features!$A:$K,$E$1,FALSE)</f>
        <v>character</v>
      </c>
      <c r="F5" s="66" t="str">
        <f>VLOOKUP(B5,Meta.Features!$A:$K,$F$1,FALSE)</f>
        <v>Nominal</v>
      </c>
      <c r="G5" s="3" t="s">
        <v>2470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69" t="s">
        <v>1458</v>
      </c>
      <c r="B6" s="28">
        <v>3</v>
      </c>
      <c r="C6" s="26" t="str">
        <f>VLOOKUP(B6,Meta.Features!$A:$G,$C$1,FALSE)</f>
        <v>BioSampling</v>
      </c>
      <c r="D6" s="66" t="str">
        <f>VLOOKUP(B6,Meta.Features!$A:$G,$D$1,FALSE)</f>
        <v>BioSamplingDate</v>
      </c>
      <c r="E6" s="66" t="str">
        <f>VLOOKUP(B6,Meta.Features!$A:$K,$E$1,FALSE)</f>
        <v>date</v>
      </c>
      <c r="F6" s="66" t="str">
        <f>VLOOKUP(B6,Meta.Features!$A:$K,$F$1,FALSE)</f>
        <v>Interval</v>
      </c>
      <c r="G6" s="3" t="s">
        <v>2470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69" t="s">
        <v>1458</v>
      </c>
      <c r="B7" s="28">
        <v>4</v>
      </c>
      <c r="C7" s="26" t="str">
        <f>VLOOKUP(B7,Meta.Features!$A:$G,$C$1,FALSE)</f>
        <v>BioSampling</v>
      </c>
      <c r="D7" s="66" t="str">
        <f>VLOOKUP(B7,Meta.Features!$A:$G,$D$1,FALSE)</f>
        <v>Type</v>
      </c>
      <c r="E7" s="66" t="str">
        <f>VLOOKUP(B7,Meta.Features!$A:$K,$E$1,FALSE)</f>
        <v>character</v>
      </c>
      <c r="F7" s="66" t="str">
        <f>VLOOKUP(B7,Meta.Features!$A:$K,$F$1,FALSE)</f>
        <v>Nominal</v>
      </c>
      <c r="G7" s="3" t="s">
        <v>2470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69" t="s">
        <v>1458</v>
      </c>
      <c r="B8" s="28">
        <v>5</v>
      </c>
      <c r="C8" s="26" t="str">
        <f>VLOOKUP(B8,Meta.Features!$A:$G,$C$1,FALSE)</f>
        <v>BioSampling</v>
      </c>
      <c r="D8" s="66" t="str">
        <f>VLOOKUP(B8,Meta.Features!$A:$G,$D$1,FALSE)</f>
        <v>TypeCXX</v>
      </c>
      <c r="E8" s="66" t="str">
        <f>VLOOKUP(B8,Meta.Features!$A:$K,$E$1,FALSE)</f>
        <v>character</v>
      </c>
      <c r="F8" s="66" t="str">
        <f>VLOOKUP(B8,Meta.Features!$A:$K,$F$1,FALSE)</f>
        <v>Nominal</v>
      </c>
      <c r="G8" s="3" t="s">
        <v>1570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69" t="s">
        <v>1458</v>
      </c>
      <c r="B9" s="28">
        <v>6</v>
      </c>
      <c r="C9" s="26" t="str">
        <f>VLOOKUP(B9,Meta.Features!$A:$G,$C$1,FALSE)</f>
        <v>BioSampling</v>
      </c>
      <c r="D9" s="66" t="str">
        <f>VLOOKUP(B9,Meta.Features!$A:$G,$D$1,FALSE)</f>
        <v>TypeSPREC</v>
      </c>
      <c r="E9" s="66" t="str">
        <f>VLOOKUP(B9,Meta.Features!$A:$K,$E$1,FALSE)</f>
        <v>character</v>
      </c>
      <c r="F9" s="66" t="str">
        <f>VLOOKUP(B9,Meta.Features!$A:$K,$F$1,FALSE)</f>
        <v>Nominal</v>
      </c>
      <c r="G9" s="3" t="s">
        <v>1570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69" t="s">
        <v>1458</v>
      </c>
      <c r="B10" s="28">
        <v>7</v>
      </c>
      <c r="C10" s="26" t="str">
        <f>VLOOKUP(B10,Meta.Features!$A:$G,$C$1,FALSE)</f>
        <v>BioSampling</v>
      </c>
      <c r="D10" s="66" t="str">
        <f>VLOOKUP(B10,Meta.Features!$A:$G,$D$1,FALSE)</f>
        <v>Status</v>
      </c>
      <c r="E10" s="66" t="str">
        <f>VLOOKUP(B10,Meta.Features!$A:$K,$E$1,FALSE)</f>
        <v>character</v>
      </c>
      <c r="F10" s="66" t="str">
        <f>VLOOKUP(B10,Meta.Features!$A:$K,$F$1,FALSE)</f>
        <v>Nominal</v>
      </c>
      <c r="G10" s="3" t="s">
        <v>1570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69" t="s">
        <v>1458</v>
      </c>
      <c r="B11" s="28">
        <v>8</v>
      </c>
      <c r="C11" s="26" t="str">
        <f>VLOOKUP(B11,Meta.Features!$A:$G,$C$1,FALSE)</f>
        <v>BioSampling</v>
      </c>
      <c r="D11" s="66" t="str">
        <f>VLOOKUP(B11,Meta.Features!$A:$G,$D$1,FALSE)</f>
        <v>ProjectName</v>
      </c>
      <c r="E11" s="66" t="str">
        <f>VLOOKUP(B11,Meta.Features!$A:$K,$E$1,FALSE)</f>
        <v>character</v>
      </c>
      <c r="F11" s="66" t="str">
        <f>VLOOKUP(B11,Meta.Features!$A:$K,$F$1,FALSE)</f>
        <v>Nominal</v>
      </c>
      <c r="G11" s="3" t="s">
        <v>1570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69" t="s">
        <v>1458</v>
      </c>
      <c r="B12" s="28">
        <v>9</v>
      </c>
      <c r="C12" s="26" t="str">
        <f>VLOOKUP(B12,Meta.Features!$A:$G,$C$1,FALSE)</f>
        <v>BioSampling</v>
      </c>
      <c r="D12" s="66" t="str">
        <f>VLOOKUP(B12,Meta.Features!$A:$G,$D$1,FALSE)</f>
        <v>Quantity</v>
      </c>
      <c r="E12" s="66" t="str">
        <f>VLOOKUP(B12,Meta.Features!$A:$K,$E$1,FALSE)</f>
        <v>double</v>
      </c>
      <c r="F12" s="66" t="str">
        <f>VLOOKUP(B12,Meta.Features!$A:$K,$F$1,FALSE)</f>
        <v>Ratio</v>
      </c>
      <c r="G12" s="3" t="s">
        <v>1570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69" t="s">
        <v>1458</v>
      </c>
      <c r="B13" s="28">
        <v>10</v>
      </c>
      <c r="C13" s="26" t="str">
        <f>VLOOKUP(B13,Meta.Features!$A:$G,$C$1,FALSE)</f>
        <v>BioSampling</v>
      </c>
      <c r="D13" s="66" t="str">
        <f>VLOOKUP(B13,Meta.Features!$A:$G,$D$1,FALSE)</f>
        <v>Unit</v>
      </c>
      <c r="E13" s="66" t="str">
        <f>VLOOKUP(B13,Meta.Features!$A:$K,$E$1,FALSE)</f>
        <v>character</v>
      </c>
      <c r="F13" s="66" t="str">
        <f>VLOOKUP(B13,Meta.Features!$A:$K,$F$1,FALSE)</f>
        <v>Nominal</v>
      </c>
      <c r="G13" s="3" t="s">
        <v>1570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69" t="s">
        <v>1458</v>
      </c>
      <c r="B14" s="28">
        <v>11</v>
      </c>
      <c r="C14" s="26" t="str">
        <f>VLOOKUP(B14,Meta.Features!$A:$G,$C$1,FALSE)</f>
        <v>BioSampling</v>
      </c>
      <c r="D14" s="66" t="str">
        <f>VLOOKUP(B14,Meta.Features!$A:$G,$D$1,FALSE)</f>
        <v>Aliquot</v>
      </c>
      <c r="E14" s="66" t="str">
        <f>VLOOKUP(B14,Meta.Features!$A:$K,$E$1,FALSE)</f>
        <v>character</v>
      </c>
      <c r="F14" s="66" t="str">
        <f>VLOOKUP(B14,Meta.Features!$A:$K,$F$1,FALSE)</f>
        <v>Nominal</v>
      </c>
      <c r="G14" s="3" t="s">
        <v>1570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69" t="s">
        <v>1458</v>
      </c>
      <c r="B15" s="28">
        <v>12</v>
      </c>
      <c r="C15" s="26" t="str">
        <f>VLOOKUP(B15,Meta.Features!$A:$G,$C$1,FALSE)</f>
        <v>Diagnosis</v>
      </c>
      <c r="D15" s="66" t="str">
        <f>VLOOKUP(B15,Meta.Features!$A:$G,$D$1,FALSE)</f>
        <v>DiagnosisID</v>
      </c>
      <c r="E15" s="66" t="str">
        <f>VLOOKUP(B15,Meta.Features!$A:$K,$E$1,FALSE)</f>
        <v>character</v>
      </c>
      <c r="F15" s="66" t="str">
        <f>VLOOKUP(B15,Meta.Features!$A:$K,$F$1,FALSE)</f>
        <v>Nominal</v>
      </c>
      <c r="G15" s="3" t="s">
        <v>2470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69" t="s">
        <v>1458</v>
      </c>
      <c r="B16" s="28">
        <v>13</v>
      </c>
      <c r="C16" s="26" t="str">
        <f>VLOOKUP(B16,Meta.Features!$A:$G,$C$1,FALSE)</f>
        <v>Diagnosis</v>
      </c>
      <c r="D16" s="66" t="str">
        <f>VLOOKUP(B16,Meta.Features!$A:$G,$D$1,FALSE)</f>
        <v>PatientID</v>
      </c>
      <c r="E16" s="66" t="str">
        <f>VLOOKUP(B16,Meta.Features!$A:$K,$E$1,FALSE)</f>
        <v>character</v>
      </c>
      <c r="F16" s="66" t="str">
        <f>VLOOKUP(B16,Meta.Features!$A:$K,$F$1,FALSE)</f>
        <v>Nominal</v>
      </c>
      <c r="G16" s="3" t="s">
        <v>2470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69" t="s">
        <v>1458</v>
      </c>
      <c r="B17" s="28">
        <v>14</v>
      </c>
      <c r="C17" s="26" t="str">
        <f>VLOOKUP(B17,Meta.Features!$A:$G,$C$1,FALSE)</f>
        <v>Diagnosis</v>
      </c>
      <c r="D17" s="66" t="str">
        <f>VLOOKUP(B17,Meta.Features!$A:$G,$D$1,FALSE)</f>
        <v>ICD10Code</v>
      </c>
      <c r="E17" s="66" t="str">
        <f>VLOOKUP(B17,Meta.Features!$A:$K,$E$1,FALSE)</f>
        <v>character</v>
      </c>
      <c r="F17" s="66" t="str">
        <f>VLOOKUP(B17,Meta.Features!$A:$K,$F$1,FALSE)</f>
        <v>Nominal</v>
      </c>
      <c r="G17" s="3" t="s">
        <v>2470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69" t="s">
        <v>1458</v>
      </c>
      <c r="B18" s="28">
        <v>15</v>
      </c>
      <c r="C18" s="26" t="str">
        <f>VLOOKUP(B18,Meta.Features!$A:$G,$C$1,FALSE)</f>
        <v>Diagnosis</v>
      </c>
      <c r="D18" s="66" t="str">
        <f>VLOOKUP(B18,Meta.Features!$A:$G,$D$1,FALSE)</f>
        <v>DiagnosisDate</v>
      </c>
      <c r="E18" s="66" t="str">
        <f>VLOOKUP(B18,Meta.Features!$A:$K,$E$1,FALSE)</f>
        <v>date</v>
      </c>
      <c r="F18" s="66" t="str">
        <f>VLOOKUP(B18,Meta.Features!$A:$K,$F$1,FALSE)</f>
        <v>Interval</v>
      </c>
      <c r="G18" s="3" t="s">
        <v>2470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69" t="s">
        <v>1458</v>
      </c>
      <c r="B19" s="28">
        <v>16</v>
      </c>
      <c r="C19" s="26" t="str">
        <f>VLOOKUP(B19,Meta.Features!$A:$G,$C$1,FALSE)</f>
        <v>Diagnosis</v>
      </c>
      <c r="D19" s="66" t="str">
        <f>VLOOKUP(B19,Meta.Features!$A:$G,$D$1,FALSE)</f>
        <v>DiagnosisLabel</v>
      </c>
      <c r="E19" s="66" t="str">
        <f>VLOOKUP(B19,Meta.Features!$A:$K,$E$1,FALSE)</f>
        <v>character</v>
      </c>
      <c r="F19" s="66" t="str">
        <f>VLOOKUP(B19,Meta.Features!$A:$K,$F$1,FALSE)</f>
        <v>Nominal</v>
      </c>
      <c r="G19" s="3" t="s">
        <v>1570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69" t="s">
        <v>1458</v>
      </c>
      <c r="B20" s="28">
        <v>17</v>
      </c>
      <c r="C20" s="26" t="str">
        <f>VLOOKUP(B20,Meta.Features!$A:$G,$C$1,FALSE)</f>
        <v>Diagnosis</v>
      </c>
      <c r="D20" s="66" t="str">
        <f>VLOOKUP(B20,Meta.Features!$A:$G,$D$1,FALSE)</f>
        <v>ICD10Version</v>
      </c>
      <c r="E20" s="66" t="str">
        <f>VLOOKUP(B20,Meta.Features!$A:$K,$E$1,FALSE)</f>
        <v>integer</v>
      </c>
      <c r="F20" s="66" t="str">
        <f>VLOOKUP(B20,Meta.Features!$A:$K,$F$1,FALSE)</f>
        <v>Nominal</v>
      </c>
      <c r="G20" s="3" t="s">
        <v>1570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69" t="s">
        <v>1458</v>
      </c>
      <c r="B21" s="28">
        <v>18</v>
      </c>
      <c r="C21" s="26" t="str">
        <f>VLOOKUP(B21,Meta.Features!$A:$G,$C$1,FALSE)</f>
        <v>Diagnosis</v>
      </c>
      <c r="D21" s="66" t="str">
        <f>VLOOKUP(B21,Meta.Features!$A:$G,$D$1,FALSE)</f>
        <v>ICDOTopographyCode</v>
      </c>
      <c r="E21" s="66" t="str">
        <f>VLOOKUP(B21,Meta.Features!$A:$K,$E$1,FALSE)</f>
        <v>character</v>
      </c>
      <c r="F21" s="66" t="str">
        <f>VLOOKUP(B21,Meta.Features!$A:$K,$F$1,FALSE)</f>
        <v>Nominal</v>
      </c>
      <c r="G21" s="3" t="s">
        <v>1570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69" t="s">
        <v>1458</v>
      </c>
      <c r="B22" s="28">
        <v>19</v>
      </c>
      <c r="C22" s="26" t="str">
        <f>VLOOKUP(B22,Meta.Features!$A:$G,$C$1,FALSE)</f>
        <v>Diagnosis</v>
      </c>
      <c r="D22" s="66" t="str">
        <f>VLOOKUP(B22,Meta.Features!$A:$G,$D$1,FALSE)</f>
        <v>ICDOTopographyVersion</v>
      </c>
      <c r="E22" s="66" t="str">
        <f>VLOOKUP(B22,Meta.Features!$A:$K,$E$1,FALSE)</f>
        <v>character</v>
      </c>
      <c r="F22" s="66" t="str">
        <f>VLOOKUP(B22,Meta.Features!$A:$K,$F$1,FALSE)</f>
        <v>Nominal</v>
      </c>
      <c r="G22" s="3" t="s">
        <v>1570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69" t="s">
        <v>1458</v>
      </c>
      <c r="B23" s="28">
        <v>20</v>
      </c>
      <c r="C23" s="26" t="str">
        <f>VLOOKUP(B23,Meta.Features!$A:$G,$C$1,FALSE)</f>
        <v>Diagnosis</v>
      </c>
      <c r="D23" s="66" t="str">
        <f>VLOOKUP(B23,Meta.Features!$A:$G,$D$1,FALSE)</f>
        <v>LocalizationSide</v>
      </c>
      <c r="E23" s="66" t="str">
        <f>VLOOKUP(B23,Meta.Features!$A:$K,$E$1,FALSE)</f>
        <v>character</v>
      </c>
      <c r="F23" s="66" t="str">
        <f>VLOOKUP(B23,Meta.Features!$A:$K,$F$1,FALSE)</f>
        <v>Nominal</v>
      </c>
      <c r="G23" s="3" t="s">
        <v>1570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69" t="s">
        <v>1458</v>
      </c>
      <c r="B24" s="28">
        <v>21</v>
      </c>
      <c r="C24" s="26" t="str">
        <f>VLOOKUP(B24,Meta.Features!$A:$G,$C$1,FALSE)</f>
        <v>Diagnosis</v>
      </c>
      <c r="D24" s="66" t="str">
        <f>VLOOKUP(B24,Meta.Features!$A:$G,$D$1,FALSE)</f>
        <v>DiagnosisConfirmation</v>
      </c>
      <c r="E24" s="66" t="str">
        <f>VLOOKUP(B24,Meta.Features!$A:$K,$E$1,FALSE)</f>
        <v>character</v>
      </c>
      <c r="F24" s="66" t="str">
        <f>VLOOKUP(B24,Meta.Features!$A:$K,$F$1,FALSE)</f>
        <v>Nominal</v>
      </c>
      <c r="G24" s="3" t="s">
        <v>1570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69" t="s">
        <v>1458</v>
      </c>
      <c r="B25" s="28">
        <v>67</v>
      </c>
      <c r="C25" s="26" t="str">
        <f>VLOOKUP(B25,Meta.Features!$A:$G,$C$1,FALSE)</f>
        <v>DiseaseStatus</v>
      </c>
      <c r="D25" s="66" t="str">
        <f>VLOOKUP(B25,Meta.Features!$A:$G,$D$1,FALSE)</f>
        <v>DiseaseStatusID</v>
      </c>
      <c r="E25" s="66" t="str">
        <f>VLOOKUP(B25,Meta.Features!$A:$K,$E$1,FALSE)</f>
        <v>character</v>
      </c>
      <c r="F25" s="66" t="str">
        <f>VLOOKUP(B25,Meta.Features!$A:$K,$F$1,FALSE)</f>
        <v>Nominal</v>
      </c>
      <c r="G25" s="3" t="s">
        <v>2470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69" t="s">
        <v>1458</v>
      </c>
      <c r="B26" s="28">
        <v>68</v>
      </c>
      <c r="C26" s="26" t="str">
        <f>VLOOKUP(B26,Meta.Features!$A:$G,$C$1,FALSE)</f>
        <v>DiseaseStatus</v>
      </c>
      <c r="D26" s="66" t="str">
        <f>VLOOKUP(B26,Meta.Features!$A:$G,$D$1,FALSE)</f>
        <v>DiagnosisID</v>
      </c>
      <c r="E26" s="66" t="str">
        <f>VLOOKUP(B26,Meta.Features!$A:$K,$E$1,FALSE)</f>
        <v>character</v>
      </c>
      <c r="F26" s="66" t="str">
        <f>VLOOKUP(B26,Meta.Features!$A:$K,$F$1,FALSE)</f>
        <v>Nominal</v>
      </c>
      <c r="G26" s="3" t="s">
        <v>2470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69" t="s">
        <v>1458</v>
      </c>
      <c r="B27" s="28">
        <v>69</v>
      </c>
      <c r="C27" s="26" t="str">
        <f>VLOOKUP(B27,Meta.Features!$A:$G,$C$1,FALSE)</f>
        <v>DiseaseStatus</v>
      </c>
      <c r="D27" s="66" t="str">
        <f>VLOOKUP(B27,Meta.Features!$A:$G,$D$1,FALSE)</f>
        <v>PatientID</v>
      </c>
      <c r="E27" s="66" t="str">
        <f>VLOOKUP(B27,Meta.Features!$A:$K,$E$1,FALSE)</f>
        <v>character</v>
      </c>
      <c r="F27" s="66" t="str">
        <f>VLOOKUP(B27,Meta.Features!$A:$K,$F$1,FALSE)</f>
        <v>Nominal</v>
      </c>
      <c r="G27" s="3" t="s">
        <v>2470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69" t="s">
        <v>1458</v>
      </c>
      <c r="B28" s="28">
        <v>70</v>
      </c>
      <c r="C28" s="26" t="str">
        <f>VLOOKUP(B28,Meta.Features!$A:$G,$C$1,FALSE)</f>
        <v>DiseaseStatus</v>
      </c>
      <c r="D28" s="66" t="str">
        <f>VLOOKUP(B28,Meta.Features!$A:$G,$D$1,FALSE)</f>
        <v>DiseaseStatusDate</v>
      </c>
      <c r="E28" s="66" t="str">
        <f>VLOOKUP(B28,Meta.Features!$A:$K,$E$1,FALSE)</f>
        <v>date</v>
      </c>
      <c r="F28" s="66" t="str">
        <f>VLOOKUP(B28,Meta.Features!$A:$K,$F$1,FALSE)</f>
        <v>Interval</v>
      </c>
      <c r="G28" s="3" t="s">
        <v>1570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69" t="s">
        <v>1458</v>
      </c>
      <c r="B29" s="28">
        <v>71</v>
      </c>
      <c r="C29" s="26" t="str">
        <f>VLOOKUP(B29,Meta.Features!$A:$G,$C$1,FALSE)</f>
        <v>DiseaseStatus</v>
      </c>
      <c r="D29" s="66" t="str">
        <f>VLOOKUP(B29,Meta.Features!$A:$G,$D$1,FALSE)</f>
        <v>GlobalStatus</v>
      </c>
      <c r="E29" s="66" t="str">
        <f>VLOOKUP(B29,Meta.Features!$A:$K,$E$1,FALSE)</f>
        <v>character</v>
      </c>
      <c r="F29" s="66" t="str">
        <f>VLOOKUP(B29,Meta.Features!$A:$K,$F$1,FALSE)</f>
        <v>Nominal</v>
      </c>
      <c r="G29" s="1" t="s">
        <v>1569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69" t="s">
        <v>1458</v>
      </c>
      <c r="B30" s="28">
        <v>72</v>
      </c>
      <c r="C30" s="26" t="str">
        <f>VLOOKUP(B30,Meta.Features!$A:$G,$C$1,FALSE)</f>
        <v>DiseaseStatus</v>
      </c>
      <c r="D30" s="66" t="str">
        <f>VLOOKUP(B30,Meta.Features!$A:$G,$D$1,FALSE)</f>
        <v>PrimarySiteStatus</v>
      </c>
      <c r="E30" s="66" t="str">
        <f>VLOOKUP(B30,Meta.Features!$A:$K,$E$1,FALSE)</f>
        <v>character</v>
      </c>
      <c r="F30" s="66" t="str">
        <f>VLOOKUP(B30,Meta.Features!$A:$K,$F$1,FALSE)</f>
        <v>Nominal</v>
      </c>
      <c r="G30" s="1" t="s">
        <v>1569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69" t="s">
        <v>1458</v>
      </c>
      <c r="B31" s="28">
        <v>150</v>
      </c>
      <c r="C31" s="26" t="str">
        <f>VLOOKUP(B31,Meta.Features!$A:$G,$C$1,FALSE)</f>
        <v>DiseaseStatus</v>
      </c>
      <c r="D31" s="66" t="str">
        <f>VLOOKUP(B31,Meta.Features!$A:$G,$D$1,FALSE)</f>
        <v>PrimarySiteStatusDate</v>
      </c>
      <c r="E31" s="66" t="str">
        <f>VLOOKUP(B31,Meta.Features!$A:$K,$E$1,FALSE)</f>
        <v>date</v>
      </c>
      <c r="F31" s="66" t="str">
        <f>VLOOKUP(B31,Meta.Features!$A:$K,$F$1,FALSE)</f>
        <v>Nominal</v>
      </c>
      <c r="G31" s="3" t="s">
        <v>1570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69" t="s">
        <v>1458</v>
      </c>
      <c r="B32" s="28">
        <v>73</v>
      </c>
      <c r="C32" s="26" t="str">
        <f>VLOOKUP(B32,Meta.Features!$A:$G,$C$1,FALSE)</f>
        <v>DiseaseStatus</v>
      </c>
      <c r="D32" s="66" t="str">
        <f>VLOOKUP(B32,Meta.Features!$A:$G,$D$1,FALSE)</f>
        <v>LymphnodalStatus</v>
      </c>
      <c r="E32" s="66" t="str">
        <f>VLOOKUP(B32,Meta.Features!$A:$K,$E$1,FALSE)</f>
        <v>character</v>
      </c>
      <c r="F32" s="66" t="str">
        <f>VLOOKUP(B32,Meta.Features!$A:$K,$F$1,FALSE)</f>
        <v>Nominal</v>
      </c>
      <c r="G32" s="1" t="s">
        <v>1569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69" t="s">
        <v>1458</v>
      </c>
      <c r="B33" s="28">
        <v>74</v>
      </c>
      <c r="C33" s="26" t="str">
        <f>VLOOKUP(B33,Meta.Features!$A:$G,$C$1,FALSE)</f>
        <v>DiseaseStatus</v>
      </c>
      <c r="D33" s="66" t="str">
        <f>VLOOKUP(B33,Meta.Features!$A:$G,$D$1,FALSE)</f>
        <v>MetastasisStatus</v>
      </c>
      <c r="E33" s="66" t="str">
        <f>VLOOKUP(B33,Meta.Features!$A:$K,$E$1,FALSE)</f>
        <v>character</v>
      </c>
      <c r="F33" s="66" t="str">
        <f>VLOOKUP(B33,Meta.Features!$A:$K,$F$1,FALSE)</f>
        <v>Nominal</v>
      </c>
      <c r="G33" s="1" t="s">
        <v>1569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69" t="s">
        <v>1458</v>
      </c>
      <c r="B34" s="28">
        <v>22</v>
      </c>
      <c r="C34" s="26" t="str">
        <f>VLOOKUP(B34,Meta.Features!$A:$G,$C$1,FALSE)</f>
        <v>GeneralCondition</v>
      </c>
      <c r="D34" s="66" t="str">
        <f>VLOOKUP(B34,Meta.Features!$A:$G,$D$1,FALSE)</f>
        <v>GeneralConditionID</v>
      </c>
      <c r="E34" s="66" t="str">
        <f>VLOOKUP(B34,Meta.Features!$A:$K,$E$1,FALSE)</f>
        <v>character</v>
      </c>
      <c r="F34" s="66" t="str">
        <f>VLOOKUP(B34,Meta.Features!$A:$K,$F$1,FALSE)</f>
        <v>Nominal</v>
      </c>
      <c r="G34" s="3" t="s">
        <v>1570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69" t="s">
        <v>1458</v>
      </c>
      <c r="B35" s="28">
        <v>23</v>
      </c>
      <c r="C35" s="26" t="str">
        <f>VLOOKUP(B35,Meta.Features!$A:$G,$C$1,FALSE)</f>
        <v>GeneralCondition</v>
      </c>
      <c r="D35" s="66" t="str">
        <f>VLOOKUP(B35,Meta.Features!$A:$G,$D$1,FALSE)</f>
        <v>DiagnosisID</v>
      </c>
      <c r="E35" s="66" t="str">
        <f>VLOOKUP(B35,Meta.Features!$A:$K,$E$1,FALSE)</f>
        <v>character</v>
      </c>
      <c r="F35" s="66" t="str">
        <f>VLOOKUP(B35,Meta.Features!$A:$K,$F$1,FALSE)</f>
        <v>Nominal</v>
      </c>
      <c r="G35" s="3" t="s">
        <v>2470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69" t="s">
        <v>1458</v>
      </c>
      <c r="B36" s="28">
        <v>24</v>
      </c>
      <c r="C36" s="26" t="str">
        <f>VLOOKUP(B36,Meta.Features!$A:$G,$C$1,FALSE)</f>
        <v>GeneralCondition</v>
      </c>
      <c r="D36" s="66" t="str">
        <f>VLOOKUP(B36,Meta.Features!$A:$G,$D$1,FALSE)</f>
        <v>PatientID</v>
      </c>
      <c r="E36" s="66" t="str">
        <f>VLOOKUP(B36,Meta.Features!$A:$K,$E$1,FALSE)</f>
        <v>character</v>
      </c>
      <c r="F36" s="66" t="str">
        <f>VLOOKUP(B36,Meta.Features!$A:$K,$F$1,FALSE)</f>
        <v>Nominal</v>
      </c>
      <c r="G36" s="3" t="s">
        <v>2470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69" t="s">
        <v>1458</v>
      </c>
      <c r="B37" s="28">
        <v>25</v>
      </c>
      <c r="C37" s="26" t="str">
        <f>VLOOKUP(B37,Meta.Features!$A:$G,$C$1,FALSE)</f>
        <v>GeneralCondition</v>
      </c>
      <c r="D37" s="66" t="str">
        <f>VLOOKUP(B37,Meta.Features!$A:$G,$D$1,FALSE)</f>
        <v>GeneralConditionDate</v>
      </c>
      <c r="E37" s="66" t="str">
        <f>VLOOKUP(B37,Meta.Features!$A:$K,$E$1,FALSE)</f>
        <v>date</v>
      </c>
      <c r="F37" s="66" t="str">
        <f>VLOOKUP(B37,Meta.Features!$A:$K,$F$1,FALSE)</f>
        <v>Interval</v>
      </c>
      <c r="G37" s="3" t="s">
        <v>1570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69" t="s">
        <v>1458</v>
      </c>
      <c r="B38" s="28">
        <v>26</v>
      </c>
      <c r="C38" s="26" t="str">
        <f>VLOOKUP(B38,Meta.Features!$A:$G,$C$1,FALSE)</f>
        <v>GeneralCondition</v>
      </c>
      <c r="D38" s="66" t="str">
        <f>VLOOKUP(B38,Meta.Features!$A:$G,$D$1,FALSE)</f>
        <v>ECOG</v>
      </c>
      <c r="E38" s="66" t="str">
        <f>VLOOKUP(B38,Meta.Features!$A:$K,$E$1,FALSE)</f>
        <v>character</v>
      </c>
      <c r="F38" s="66" t="str">
        <f>VLOOKUP(B38,Meta.Features!$A:$K,$F$1,FALSE)</f>
        <v>Ordinal</v>
      </c>
      <c r="G38" s="3" t="s">
        <v>2470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69" t="s">
        <v>1458</v>
      </c>
      <c r="B39" s="28">
        <v>27</v>
      </c>
      <c r="C39" s="26" t="str">
        <f>VLOOKUP(B39,Meta.Features!$A:$G,$C$1,FALSE)</f>
        <v>Histology</v>
      </c>
      <c r="D39" s="66" t="str">
        <f>VLOOKUP(B39,Meta.Features!$A:$G,$D$1,FALSE)</f>
        <v>HistologyID</v>
      </c>
      <c r="E39" s="66" t="str">
        <f>VLOOKUP(B39,Meta.Features!$A:$K,$E$1,FALSE)</f>
        <v>character</v>
      </c>
      <c r="F39" s="66" t="str">
        <f>VLOOKUP(B39,Meta.Features!$A:$K,$F$1,FALSE)</f>
        <v>Nominal</v>
      </c>
      <c r="G39" s="3" t="s">
        <v>2470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69" t="s">
        <v>1458</v>
      </c>
      <c r="B40" s="28">
        <v>28</v>
      </c>
      <c r="C40" s="26" t="str">
        <f>VLOOKUP(B40,Meta.Features!$A:$G,$C$1,FALSE)</f>
        <v>Histology</v>
      </c>
      <c r="D40" s="66" t="str">
        <f>VLOOKUP(B40,Meta.Features!$A:$G,$D$1,FALSE)</f>
        <v>DiagnosisID</v>
      </c>
      <c r="E40" s="66" t="str">
        <f>VLOOKUP(B40,Meta.Features!$A:$K,$E$1,FALSE)</f>
        <v>character</v>
      </c>
      <c r="F40" s="66" t="str">
        <f>VLOOKUP(B40,Meta.Features!$A:$K,$F$1,FALSE)</f>
        <v>Nominal</v>
      </c>
      <c r="G40" s="3" t="s">
        <v>2470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69" t="s">
        <v>1458</v>
      </c>
      <c r="B41" s="28">
        <v>29</v>
      </c>
      <c r="C41" s="26" t="str">
        <f>VLOOKUP(B41,Meta.Features!$A:$G,$C$1,FALSE)</f>
        <v>Histology</v>
      </c>
      <c r="D41" s="66" t="str">
        <f>VLOOKUP(B41,Meta.Features!$A:$G,$D$1,FALSE)</f>
        <v>PatientID</v>
      </c>
      <c r="E41" s="66" t="str">
        <f>VLOOKUP(B41,Meta.Features!$A:$K,$E$1,FALSE)</f>
        <v>character</v>
      </c>
      <c r="F41" s="66" t="str">
        <f>VLOOKUP(B41,Meta.Features!$A:$K,$F$1,FALSE)</f>
        <v>Nominal</v>
      </c>
      <c r="G41" s="3" t="s">
        <v>2470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69" t="s">
        <v>1458</v>
      </c>
      <c r="B42" s="28">
        <v>30</v>
      </c>
      <c r="C42" s="26" t="str">
        <f>VLOOKUP(B42,Meta.Features!$A:$G,$C$1,FALSE)</f>
        <v>Histology</v>
      </c>
      <c r="D42" s="66" t="str">
        <f>VLOOKUP(B42,Meta.Features!$A:$G,$D$1,FALSE)</f>
        <v>HistologyDate</v>
      </c>
      <c r="E42" s="66" t="str">
        <f>VLOOKUP(B42,Meta.Features!$A:$K,$E$1,FALSE)</f>
        <v>date</v>
      </c>
      <c r="F42" s="66" t="str">
        <f>VLOOKUP(B42,Meta.Features!$A:$K,$F$1,FALSE)</f>
        <v>Interval</v>
      </c>
      <c r="G42" s="3" t="s">
        <v>2470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69" t="s">
        <v>1458</v>
      </c>
      <c r="B43" s="28">
        <v>31</v>
      </c>
      <c r="C43" s="26" t="str">
        <f>VLOOKUP(B43,Meta.Features!$A:$G,$C$1,FALSE)</f>
        <v>Histology</v>
      </c>
      <c r="D43" s="66" t="str">
        <f>VLOOKUP(B43,Meta.Features!$A:$G,$D$1,FALSE)</f>
        <v>ICDOMorphologyVersion</v>
      </c>
      <c r="E43" s="66" t="str">
        <f>VLOOKUP(B43,Meta.Features!$A:$K,$E$1,FALSE)</f>
        <v>character</v>
      </c>
      <c r="F43" s="66" t="str">
        <f>VLOOKUP(B43,Meta.Features!$A:$K,$F$1,FALSE)</f>
        <v>Nominal</v>
      </c>
      <c r="G43" s="3" t="s">
        <v>1570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69" t="s">
        <v>1458</v>
      </c>
      <c r="B44" s="28">
        <v>32</v>
      </c>
      <c r="C44" s="26" t="str">
        <f>VLOOKUP(B44,Meta.Features!$A:$G,$C$1,FALSE)</f>
        <v>Histology</v>
      </c>
      <c r="D44" s="66" t="str">
        <f>VLOOKUP(B44,Meta.Features!$A:$G,$D$1,FALSE)</f>
        <v>ICDOMorphologyCode</v>
      </c>
      <c r="E44" s="66" t="str">
        <f>VLOOKUP(B44,Meta.Features!$A:$K,$E$1,FALSE)</f>
        <v>character</v>
      </c>
      <c r="F44" s="66" t="str">
        <f>VLOOKUP(B44,Meta.Features!$A:$K,$F$1,FALSE)</f>
        <v>Nominal</v>
      </c>
      <c r="G44" s="3" t="s">
        <v>2470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69" t="s">
        <v>1458</v>
      </c>
      <c r="B45" s="28">
        <v>33</v>
      </c>
      <c r="C45" s="26" t="str">
        <f>VLOOKUP(B45,Meta.Features!$A:$G,$C$1,FALSE)</f>
        <v>Histology</v>
      </c>
      <c r="D45" s="66" t="str">
        <f>VLOOKUP(B45,Meta.Features!$A:$G,$D$1,FALSE)</f>
        <v>ICDOMorphologyComment</v>
      </c>
      <c r="E45" s="66" t="str">
        <f>VLOOKUP(B45,Meta.Features!$A:$K,$E$1,FALSE)</f>
        <v>character</v>
      </c>
      <c r="F45" s="66" t="str">
        <f>VLOOKUP(B45,Meta.Features!$A:$K,$F$1,FALSE)</f>
        <v>Nominal</v>
      </c>
      <c r="G45" s="3" t="s">
        <v>1570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69" t="s">
        <v>1458</v>
      </c>
      <c r="B46" s="28">
        <v>34</v>
      </c>
      <c r="C46" s="26" t="str">
        <f>VLOOKUP(B46,Meta.Features!$A:$G,$C$1,FALSE)</f>
        <v>Histology</v>
      </c>
      <c r="D46" s="66" t="str">
        <f>VLOOKUP(B46,Meta.Features!$A:$G,$D$1,FALSE)</f>
        <v>Grading</v>
      </c>
      <c r="E46" s="66" t="str">
        <f>VLOOKUP(B46,Meta.Features!$A:$K,$E$1,FALSE)</f>
        <v>character</v>
      </c>
      <c r="F46" s="66" t="str">
        <f>VLOOKUP(B46,Meta.Features!$A:$K,$F$1,FALSE)</f>
        <v>Nominal</v>
      </c>
      <c r="G46" s="3" t="s">
        <v>1570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69" t="s">
        <v>1458</v>
      </c>
      <c r="B47" s="28">
        <v>35</v>
      </c>
      <c r="C47" s="26" t="str">
        <f>VLOOKUP(B47,Meta.Features!$A:$G,$C$1,FALSE)</f>
        <v>Histology</v>
      </c>
      <c r="D47" s="66" t="str">
        <f>VLOOKUP(B47,Meta.Features!$A:$G,$D$1,FALSE)</f>
        <v>NumberLymphnodesExamined</v>
      </c>
      <c r="E47" s="66" t="str">
        <f>VLOOKUP(B47,Meta.Features!$A:$K,$E$1,FALSE)</f>
        <v>integer</v>
      </c>
      <c r="F47" s="66" t="str">
        <f>VLOOKUP(B47,Meta.Features!$A:$K,$F$1,FALSE)</f>
        <v>Ratio</v>
      </c>
      <c r="G47" s="3" t="s">
        <v>1570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69" t="s">
        <v>1458</v>
      </c>
      <c r="B48" s="28">
        <v>36</v>
      </c>
      <c r="C48" s="26" t="str">
        <f>VLOOKUP(B48,Meta.Features!$A:$G,$C$1,FALSE)</f>
        <v>Histology</v>
      </c>
      <c r="D48" s="66" t="str">
        <f>VLOOKUP(B48,Meta.Features!$A:$G,$D$1,FALSE)</f>
        <v>NumberLymphnodesAffected</v>
      </c>
      <c r="E48" s="66" t="str">
        <f>VLOOKUP(B48,Meta.Features!$A:$K,$E$1,FALSE)</f>
        <v>integer</v>
      </c>
      <c r="F48" s="66" t="str">
        <f>VLOOKUP(B48,Meta.Features!$A:$K,$F$1,FALSE)</f>
        <v>Ratio</v>
      </c>
      <c r="G48" s="3" t="s">
        <v>1570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69" t="s">
        <v>1458</v>
      </c>
      <c r="B49" s="28">
        <v>37</v>
      </c>
      <c r="C49" s="26" t="str">
        <f>VLOOKUP(B49,Meta.Features!$A:$G,$C$1,FALSE)</f>
        <v>Histology</v>
      </c>
      <c r="D49" s="66" t="str">
        <f>VLOOKUP(B49,Meta.Features!$A:$G,$D$1,FALSE)</f>
        <v>NumberSentinelLymphnodesExamined</v>
      </c>
      <c r="E49" s="66" t="str">
        <f>VLOOKUP(B49,Meta.Features!$A:$K,$E$1,FALSE)</f>
        <v>integer</v>
      </c>
      <c r="F49" s="66" t="str">
        <f>VLOOKUP(B49,Meta.Features!$A:$K,$F$1,FALSE)</f>
        <v>Ratio</v>
      </c>
      <c r="G49" s="3" t="s">
        <v>1570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69" t="s">
        <v>1458</v>
      </c>
      <c r="B50" s="28">
        <v>38</v>
      </c>
      <c r="C50" s="26" t="str">
        <f>VLOOKUP(B50,Meta.Features!$A:$G,$C$1,FALSE)</f>
        <v>Histology</v>
      </c>
      <c r="D50" s="66" t="str">
        <f>VLOOKUP(B50,Meta.Features!$A:$G,$D$1,FALSE)</f>
        <v>NumberSentinelLymphnodesAffected</v>
      </c>
      <c r="E50" s="66" t="str">
        <f>VLOOKUP(B50,Meta.Features!$A:$K,$E$1,FALSE)</f>
        <v>integer</v>
      </c>
      <c r="F50" s="66" t="str">
        <f>VLOOKUP(B50,Meta.Features!$A:$K,$F$1,FALSE)</f>
        <v>Ratio</v>
      </c>
      <c r="G50" s="3" t="s">
        <v>1570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69" t="s">
        <v>1458</v>
      </c>
      <c r="B51" s="28">
        <v>39</v>
      </c>
      <c r="C51" s="26" t="str">
        <f>VLOOKUP(B51,Meta.Features!$A:$G,$C$1,FALSE)</f>
        <v>Metastasis</v>
      </c>
      <c r="D51" s="66" t="str">
        <f>VLOOKUP(B51,Meta.Features!$A:$G,$D$1,FALSE)</f>
        <v>MetastasisID</v>
      </c>
      <c r="E51" s="66" t="str">
        <f>VLOOKUP(B51,Meta.Features!$A:$K,$E$1,FALSE)</f>
        <v>character</v>
      </c>
      <c r="F51" s="66" t="str">
        <f>VLOOKUP(B51,Meta.Features!$A:$K,$F$1,FALSE)</f>
        <v>Nominal</v>
      </c>
      <c r="G51" s="3" t="s">
        <v>2470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69" t="s">
        <v>1458</v>
      </c>
      <c r="B52" s="28">
        <v>40</v>
      </c>
      <c r="C52" s="26" t="str">
        <f>VLOOKUP(B52,Meta.Features!$A:$G,$C$1,FALSE)</f>
        <v>Metastasis</v>
      </c>
      <c r="D52" s="66" t="str">
        <f>VLOOKUP(B52,Meta.Features!$A:$G,$D$1,FALSE)</f>
        <v>DiagnosisID</v>
      </c>
      <c r="E52" s="66" t="str">
        <f>VLOOKUP(B52,Meta.Features!$A:$K,$E$1,FALSE)</f>
        <v>character</v>
      </c>
      <c r="F52" s="66" t="str">
        <f>VLOOKUP(B52,Meta.Features!$A:$K,$F$1,FALSE)</f>
        <v>Nominal</v>
      </c>
      <c r="G52" s="3" t="s">
        <v>2470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69" t="s">
        <v>1458</v>
      </c>
      <c r="B53" s="28">
        <v>41</v>
      </c>
      <c r="C53" s="26" t="str">
        <f>VLOOKUP(B53,Meta.Features!$A:$G,$C$1,FALSE)</f>
        <v>Metastasis</v>
      </c>
      <c r="D53" s="66" t="str">
        <f>VLOOKUP(B53,Meta.Features!$A:$G,$D$1,FALSE)</f>
        <v>PatientID</v>
      </c>
      <c r="E53" s="66" t="str">
        <f>VLOOKUP(B53,Meta.Features!$A:$K,$E$1,FALSE)</f>
        <v>character</v>
      </c>
      <c r="F53" s="66" t="str">
        <f>VLOOKUP(B53,Meta.Features!$A:$K,$F$1,FALSE)</f>
        <v>Nominal</v>
      </c>
      <c r="G53" s="3" t="s">
        <v>2470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69" t="s">
        <v>1458</v>
      </c>
      <c r="B54" s="28">
        <v>42</v>
      </c>
      <c r="C54" s="26" t="str">
        <f>VLOOKUP(B54,Meta.Features!$A:$G,$C$1,FALSE)</f>
        <v>Metastasis</v>
      </c>
      <c r="D54" s="66" t="str">
        <f>VLOOKUP(B54,Meta.Features!$A:$G,$D$1,FALSE)</f>
        <v>MetastasisDate</v>
      </c>
      <c r="E54" s="66" t="str">
        <f>VLOOKUP(B54,Meta.Features!$A:$K,$E$1,FALSE)</f>
        <v>date</v>
      </c>
      <c r="F54" s="66" t="str">
        <f>VLOOKUP(B54,Meta.Features!$A:$K,$F$1,FALSE)</f>
        <v>Interval</v>
      </c>
      <c r="G54" s="3" t="s">
        <v>2470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69" t="s">
        <v>1458</v>
      </c>
      <c r="B55" s="28">
        <v>43</v>
      </c>
      <c r="C55" s="26" t="str">
        <f>VLOOKUP(B55,Meta.Features!$A:$G,$C$1,FALSE)</f>
        <v>Metastasis</v>
      </c>
      <c r="D55" s="66" t="str">
        <f>VLOOKUP(B55,Meta.Features!$A:$G,$D$1,FALSE)</f>
        <v>HasMetastasis</v>
      </c>
      <c r="E55" s="66" t="str">
        <f>VLOOKUP(B55,Meta.Features!$A:$K,$E$1,FALSE)</f>
        <v>logical</v>
      </c>
      <c r="F55" s="66" t="str">
        <f>VLOOKUP(B55,Meta.Features!$A:$K,$F$1,FALSE)</f>
        <v>Binary</v>
      </c>
      <c r="G55" s="3" t="s">
        <v>1570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69" t="s">
        <v>1458</v>
      </c>
      <c r="B56" s="28">
        <v>44</v>
      </c>
      <c r="C56" s="26" t="str">
        <f>VLOOKUP(B56,Meta.Features!$A:$G,$C$1,FALSE)</f>
        <v>Metastasis</v>
      </c>
      <c r="D56" s="66" t="str">
        <f>VLOOKUP(B56,Meta.Features!$A:$G,$D$1,FALSE)</f>
        <v>Localization</v>
      </c>
      <c r="E56" s="66" t="str">
        <f>VLOOKUP(B56,Meta.Features!$A:$K,$E$1,FALSE)</f>
        <v>character</v>
      </c>
      <c r="F56" s="66" t="str">
        <f>VLOOKUP(B56,Meta.Features!$A:$K,$F$1,FALSE)</f>
        <v>Nominal</v>
      </c>
      <c r="G56" s="3" t="s">
        <v>1570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69" t="s">
        <v>1458</v>
      </c>
      <c r="B57" s="28">
        <v>45</v>
      </c>
      <c r="C57" s="26" t="str">
        <f>VLOOKUP(B57,Meta.Features!$A:$G,$C$1,FALSE)</f>
        <v>MolecularDiagnostics</v>
      </c>
      <c r="D57" s="66" t="str">
        <f>VLOOKUP(B57,Meta.Features!$A:$G,$D$1,FALSE)</f>
        <v>MolecularDiagnosticsID</v>
      </c>
      <c r="E57" s="66" t="str">
        <f>VLOOKUP(B57,Meta.Features!$A:$K,$E$1,FALSE)</f>
        <v>character</v>
      </c>
      <c r="F57" s="66" t="str">
        <f>VLOOKUP(B57,Meta.Features!$A:$K,$F$1,FALSE)</f>
        <v>Nominal</v>
      </c>
      <c r="G57" s="3" t="s">
        <v>2470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69" t="s">
        <v>1458</v>
      </c>
      <c r="B58" s="28">
        <v>46</v>
      </c>
      <c r="C58" s="26" t="str">
        <f>VLOOKUP(B58,Meta.Features!$A:$G,$C$1,FALSE)</f>
        <v>MolecularDiagnostics</v>
      </c>
      <c r="D58" s="66" t="str">
        <f>VLOOKUP(B58,Meta.Features!$A:$G,$D$1,FALSE)</f>
        <v>DiagnosisID</v>
      </c>
      <c r="E58" s="66" t="str">
        <f>VLOOKUP(B58,Meta.Features!$A:$K,$E$1,FALSE)</f>
        <v>character</v>
      </c>
      <c r="F58" s="66" t="str">
        <f>VLOOKUP(B58,Meta.Features!$A:$K,$F$1,FALSE)</f>
        <v>Nominal</v>
      </c>
      <c r="G58" s="3" t="s">
        <v>2470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69" t="s">
        <v>1458</v>
      </c>
      <c r="B59" s="28">
        <v>47</v>
      </c>
      <c r="C59" s="26" t="str">
        <f>VLOOKUP(B59,Meta.Features!$A:$G,$C$1,FALSE)</f>
        <v>MolecularDiagnostics</v>
      </c>
      <c r="D59" s="66" t="str">
        <f>VLOOKUP(B59,Meta.Features!$A:$G,$D$1,FALSE)</f>
        <v>PatientID</v>
      </c>
      <c r="E59" s="66" t="str">
        <f>VLOOKUP(B59,Meta.Features!$A:$K,$E$1,FALSE)</f>
        <v>character</v>
      </c>
      <c r="F59" s="66" t="str">
        <f>VLOOKUP(B59,Meta.Features!$A:$K,$F$1,FALSE)</f>
        <v>Nominal</v>
      </c>
      <c r="G59" s="3" t="s">
        <v>2470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69" t="s">
        <v>1458</v>
      </c>
      <c r="B60" s="28">
        <v>48</v>
      </c>
      <c r="C60" s="26" t="str">
        <f>VLOOKUP(B60,Meta.Features!$A:$G,$C$1,FALSE)</f>
        <v>MolecularDiagnostics</v>
      </c>
      <c r="D60" s="66" t="str">
        <f>VLOOKUP(B60,Meta.Features!$A:$G,$D$1,FALSE)</f>
        <v>MolecularDiagnosticsDate</v>
      </c>
      <c r="E60" s="66" t="str">
        <f>VLOOKUP(B60,Meta.Features!$A:$K,$E$1,FALSE)</f>
        <v>date</v>
      </c>
      <c r="F60" s="66" t="str">
        <f>VLOOKUP(B60,Meta.Features!$A:$K,$F$1,FALSE)</f>
        <v>Interval</v>
      </c>
      <c r="G60" s="3" t="s">
        <v>2470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69" t="s">
        <v>1458</v>
      </c>
      <c r="B61" s="28">
        <v>49</v>
      </c>
      <c r="C61" s="26" t="str">
        <f>VLOOKUP(B61,Meta.Features!$A:$G,$C$1,FALSE)</f>
        <v>MolecularDiagnostics</v>
      </c>
      <c r="D61" s="66" t="str">
        <f>VLOOKUP(B61,Meta.Features!$A:$G,$D$1,FALSE)</f>
        <v>MolecularMarker</v>
      </c>
      <c r="E61" s="66" t="str">
        <f>VLOOKUP(B61,Meta.Features!$A:$K,$E$1,FALSE)</f>
        <v>character</v>
      </c>
      <c r="F61" s="66" t="str">
        <f>VLOOKUP(B61,Meta.Features!$A:$K,$F$1,FALSE)</f>
        <v>Nominal</v>
      </c>
      <c r="G61" s="3" t="s">
        <v>2470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69" t="s">
        <v>1458</v>
      </c>
      <c r="B62" s="28">
        <v>50</v>
      </c>
      <c r="C62" s="26" t="str">
        <f>VLOOKUP(B62,Meta.Features!$A:$G,$C$1,FALSE)</f>
        <v>MolecularDiagnostics</v>
      </c>
      <c r="D62" s="66" t="str">
        <f>VLOOKUP(B62,Meta.Features!$A:$G,$D$1,FALSE)</f>
        <v>MolecularMarkerStatus</v>
      </c>
      <c r="E62" s="66" t="str">
        <f>VLOOKUP(B62,Meta.Features!$A:$K,$E$1,FALSE)</f>
        <v>character</v>
      </c>
      <c r="F62" s="66" t="str">
        <f>VLOOKUP(B62,Meta.Features!$A:$K,$F$1,FALSE)</f>
        <v>Nominal</v>
      </c>
      <c r="G62" s="3" t="s">
        <v>1570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69" t="s">
        <v>1458</v>
      </c>
      <c r="B63" s="28">
        <v>51</v>
      </c>
      <c r="C63" s="26" t="str">
        <f>VLOOKUP(B63,Meta.Features!$A:$G,$C$1,FALSE)</f>
        <v>MolecularDiagnostics</v>
      </c>
      <c r="D63" s="66" t="str">
        <f>VLOOKUP(B63,Meta.Features!$A:$G,$D$1,FALSE)</f>
        <v>Documentation</v>
      </c>
      <c r="E63" s="66" t="str">
        <f>VLOOKUP(B63,Meta.Features!$A:$K,$E$1,FALSE)</f>
        <v>character</v>
      </c>
      <c r="F63" s="66" t="str">
        <f>VLOOKUP(B63,Meta.Features!$A:$K,$F$1,FALSE)</f>
        <v>Nominal</v>
      </c>
      <c r="G63" s="3" t="s">
        <v>1570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69" t="s">
        <v>1458</v>
      </c>
      <c r="B64" s="28">
        <v>52</v>
      </c>
      <c r="C64" s="26" t="str">
        <f>VLOOKUP(B64,Meta.Features!$A:$G,$C$1,FALSE)</f>
        <v>OtherClassification</v>
      </c>
      <c r="D64" s="66" t="str">
        <f>VLOOKUP(B64,Meta.Features!$A:$G,$D$1,FALSE)</f>
        <v>OtherClassificationID</v>
      </c>
      <c r="E64" s="66" t="str">
        <f>VLOOKUP(B64,Meta.Features!$A:$K,$E$1,FALSE)</f>
        <v>character</v>
      </c>
      <c r="F64" s="66" t="str">
        <f>VLOOKUP(B64,Meta.Features!$A:$K,$F$1,FALSE)</f>
        <v>Nominal</v>
      </c>
      <c r="G64" s="3" t="s">
        <v>1570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69" t="s">
        <v>1458</v>
      </c>
      <c r="B65" s="28">
        <v>53</v>
      </c>
      <c r="C65" s="26" t="str">
        <f>VLOOKUP(B65,Meta.Features!$A:$G,$C$1,FALSE)</f>
        <v>OtherClassification</v>
      </c>
      <c r="D65" s="66" t="str">
        <f>VLOOKUP(B65,Meta.Features!$A:$G,$D$1,FALSE)</f>
        <v>DiagnosisID</v>
      </c>
      <c r="E65" s="66" t="str">
        <f>VLOOKUP(B65,Meta.Features!$A:$K,$E$1,FALSE)</f>
        <v>character</v>
      </c>
      <c r="F65" s="66" t="str">
        <f>VLOOKUP(B65,Meta.Features!$A:$K,$F$1,FALSE)</f>
        <v>Nominal</v>
      </c>
      <c r="G65" s="3" t="s">
        <v>2470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69" t="s">
        <v>1458</v>
      </c>
      <c r="B66" s="28">
        <v>54</v>
      </c>
      <c r="C66" s="26" t="str">
        <f>VLOOKUP(B66,Meta.Features!$A:$G,$C$1,FALSE)</f>
        <v>OtherClassification</v>
      </c>
      <c r="D66" s="66" t="str">
        <f>VLOOKUP(B66,Meta.Features!$A:$G,$D$1,FALSE)</f>
        <v>PatientID</v>
      </c>
      <c r="E66" s="66" t="str">
        <f>VLOOKUP(B66,Meta.Features!$A:$K,$E$1,FALSE)</f>
        <v>character</v>
      </c>
      <c r="F66" s="66" t="str">
        <f>VLOOKUP(B66,Meta.Features!$A:$K,$F$1,FALSE)</f>
        <v>Nominal</v>
      </c>
      <c r="G66" s="3" t="s">
        <v>2470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69" t="s">
        <v>1458</v>
      </c>
      <c r="B67" s="28">
        <v>55</v>
      </c>
      <c r="C67" s="26" t="str">
        <f>VLOOKUP(B67,Meta.Features!$A:$G,$C$1,FALSE)</f>
        <v>OtherClassification</v>
      </c>
      <c r="D67" s="66" t="str">
        <f>VLOOKUP(B67,Meta.Features!$A:$G,$D$1,FALSE)</f>
        <v>OtherClassificationDate</v>
      </c>
      <c r="E67" s="66" t="str">
        <f>VLOOKUP(B67,Meta.Features!$A:$K,$E$1,FALSE)</f>
        <v>date</v>
      </c>
      <c r="F67" s="66" t="str">
        <f>VLOOKUP(B67,Meta.Features!$A:$K,$F$1,FALSE)</f>
        <v>Interval</v>
      </c>
      <c r="G67" s="3" t="s">
        <v>2470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69" t="s">
        <v>1458</v>
      </c>
      <c r="B68" s="28">
        <v>56</v>
      </c>
      <c r="C68" s="26" t="str">
        <f>VLOOKUP(B68,Meta.Features!$A:$G,$C$1,FALSE)</f>
        <v>OtherClassification</v>
      </c>
      <c r="D68" s="66" t="str">
        <f>VLOOKUP(B68,Meta.Features!$A:$G,$D$1,FALSE)</f>
        <v>Class</v>
      </c>
      <c r="E68" s="66" t="str">
        <f>VLOOKUP(B68,Meta.Features!$A:$K,$E$1,FALSE)</f>
        <v>character</v>
      </c>
      <c r="F68" s="66" t="str">
        <f>VLOOKUP(B68,Meta.Features!$A:$K,$F$1,FALSE)</f>
        <v>Nominal</v>
      </c>
      <c r="G68" s="3" t="s">
        <v>2470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69" t="s">
        <v>1458</v>
      </c>
      <c r="B69" s="28">
        <v>57</v>
      </c>
      <c r="C69" s="26" t="str">
        <f>VLOOKUP(B69,Meta.Features!$A:$G,$C$1,FALSE)</f>
        <v>OtherClassification</v>
      </c>
      <c r="D69" s="66" t="str">
        <f>VLOOKUP(B69,Meta.Features!$A:$G,$D$1,FALSE)</f>
        <v>Classification</v>
      </c>
      <c r="E69" s="66" t="str">
        <f>VLOOKUP(B69,Meta.Features!$A:$K,$E$1,FALSE)</f>
        <v>character</v>
      </c>
      <c r="F69" s="66" t="str">
        <f>VLOOKUP(B69,Meta.Features!$A:$K,$F$1,FALSE)</f>
        <v>Nominal</v>
      </c>
      <c r="G69" s="3" t="s">
        <v>2470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69" t="s">
        <v>1458</v>
      </c>
      <c r="B70" s="28">
        <v>58</v>
      </c>
      <c r="C70" s="26" t="str">
        <f>VLOOKUP(B70,Meta.Features!$A:$G,$C$1,FALSE)</f>
        <v>Patient</v>
      </c>
      <c r="D70" s="66" t="str">
        <f>VLOOKUP(B70,Meta.Features!$A:$G,$D$1,FALSE)</f>
        <v>PatientID</v>
      </c>
      <c r="E70" s="66" t="str">
        <f>VLOOKUP(B70,Meta.Features!$A:$K,$E$1,FALSE)</f>
        <v>character</v>
      </c>
      <c r="F70" s="66" t="str">
        <f>VLOOKUP(B70,Meta.Features!$A:$K,$F$1,FALSE)</f>
        <v>Nominal</v>
      </c>
      <c r="G70" s="3" t="s">
        <v>2470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69" t="s">
        <v>1458</v>
      </c>
      <c r="B71" s="28">
        <v>59</v>
      </c>
      <c r="C71" s="26" t="str">
        <f>VLOOKUP(B71,Meta.Features!$A:$G,$C$1,FALSE)</f>
        <v>Patient</v>
      </c>
      <c r="D71" s="66" t="str">
        <f>VLOOKUP(B71,Meta.Features!$A:$G,$D$1,FALSE)</f>
        <v>DKTKIDGlobal</v>
      </c>
      <c r="E71" s="66" t="str">
        <f>VLOOKUP(B71,Meta.Features!$A:$K,$E$1,FALSE)</f>
        <v>character</v>
      </c>
      <c r="F71" s="66" t="str">
        <f>VLOOKUP(B71,Meta.Features!$A:$K,$F$1,FALSE)</f>
        <v>Nominal</v>
      </c>
      <c r="G71" s="3" t="s">
        <v>1570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69" t="s">
        <v>1458</v>
      </c>
      <c r="B72" s="28">
        <v>60</v>
      </c>
      <c r="C72" s="26" t="str">
        <f>VLOOKUP(B72,Meta.Features!$A:$G,$C$1,FALSE)</f>
        <v>Patient</v>
      </c>
      <c r="D72" s="66" t="str">
        <f>VLOOKUP(B72,Meta.Features!$A:$G,$D$1,FALSE)</f>
        <v>DKTKIDLocal</v>
      </c>
      <c r="E72" s="66" t="str">
        <f>VLOOKUP(B72,Meta.Features!$A:$K,$E$1,FALSE)</f>
        <v>character</v>
      </c>
      <c r="F72" s="66" t="str">
        <f>VLOOKUP(B72,Meta.Features!$A:$K,$F$1,FALSE)</f>
        <v>Nominal</v>
      </c>
      <c r="G72" s="3" t="s">
        <v>1570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69" t="s">
        <v>1458</v>
      </c>
      <c r="B73" s="28">
        <v>61</v>
      </c>
      <c r="C73" s="26" t="str">
        <f>VLOOKUP(B73,Meta.Features!$A:$G,$C$1,FALSE)</f>
        <v>Patient</v>
      </c>
      <c r="D73" s="66" t="str">
        <f>VLOOKUP(B73,Meta.Features!$A:$G,$D$1,FALSE)</f>
        <v>DateOfBirth</v>
      </c>
      <c r="E73" s="66" t="str">
        <f>VLOOKUP(B73,Meta.Features!$A:$K,$E$1,FALSE)</f>
        <v>date</v>
      </c>
      <c r="F73" s="66" t="str">
        <f>VLOOKUP(B73,Meta.Features!$A:$K,$F$1,FALSE)</f>
        <v>Interval</v>
      </c>
      <c r="G73" s="3" t="s">
        <v>2470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69" t="s">
        <v>1458</v>
      </c>
      <c r="B74" s="28">
        <v>62</v>
      </c>
      <c r="C74" s="26" t="str">
        <f>VLOOKUP(B74,Meta.Features!$A:$G,$C$1,FALSE)</f>
        <v>Patient</v>
      </c>
      <c r="D74" s="66" t="str">
        <f>VLOOKUP(B74,Meta.Features!$A:$G,$D$1,FALSE)</f>
        <v>Sex</v>
      </c>
      <c r="E74" s="66" t="str">
        <f>VLOOKUP(B74,Meta.Features!$A:$K,$E$1,FALSE)</f>
        <v>character</v>
      </c>
      <c r="F74" s="66" t="str">
        <f>VLOOKUP(B74,Meta.Features!$A:$K,$F$1,FALSE)</f>
        <v>Nominal</v>
      </c>
      <c r="G74" s="3" t="s">
        <v>1570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69" t="s">
        <v>1458</v>
      </c>
      <c r="B75" s="28">
        <v>63</v>
      </c>
      <c r="C75" s="26" t="str">
        <f>VLOOKUP(B75,Meta.Features!$A:$G,$C$1,FALSE)</f>
        <v>Patient</v>
      </c>
      <c r="D75" s="66" t="str">
        <f>VLOOKUP(B75,Meta.Features!$A:$G,$D$1,FALSE)</f>
        <v>LastVitalStatusDate</v>
      </c>
      <c r="E75" s="66" t="str">
        <f>VLOOKUP(B75,Meta.Features!$A:$K,$E$1,FALSE)</f>
        <v>date</v>
      </c>
      <c r="F75" s="66" t="str">
        <f>VLOOKUP(B75,Meta.Features!$A:$K,$F$1,FALSE)</f>
        <v>Interval</v>
      </c>
      <c r="G75" s="3" t="s">
        <v>2470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69" t="s">
        <v>1458</v>
      </c>
      <c r="B76" s="28">
        <v>64</v>
      </c>
      <c r="C76" s="26" t="str">
        <f>VLOOKUP(B76,Meta.Features!$A:$G,$C$1,FALSE)</f>
        <v>Patient</v>
      </c>
      <c r="D76" s="66" t="str">
        <f>VLOOKUP(B76,Meta.Features!$A:$G,$D$1,FALSE)</f>
        <v>LastVitalStatus</v>
      </c>
      <c r="E76" s="66" t="str">
        <f>VLOOKUP(B76,Meta.Features!$A:$K,$E$1,FALSE)</f>
        <v>character</v>
      </c>
      <c r="F76" s="66" t="str">
        <f>VLOOKUP(B76,Meta.Features!$A:$K,$F$1,FALSE)</f>
        <v>Nominal</v>
      </c>
      <c r="G76" s="3" t="s">
        <v>2470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69" t="s">
        <v>1458</v>
      </c>
      <c r="B77" s="28">
        <v>65</v>
      </c>
      <c r="C77" s="26" t="str">
        <f>VLOOKUP(B77,Meta.Features!$A:$G,$C$1,FALSE)</f>
        <v>Patient</v>
      </c>
      <c r="D77" s="66" t="str">
        <f>VLOOKUP(B77,Meta.Features!$A:$G,$D$1,FALSE)</f>
        <v>DeathCancerRelated</v>
      </c>
      <c r="E77" s="66" t="str">
        <f>VLOOKUP(B77,Meta.Features!$A:$K,$E$1,FALSE)</f>
        <v>character</v>
      </c>
      <c r="F77" s="66" t="str">
        <f>VLOOKUP(B77,Meta.Features!$A:$K,$F$1,FALSE)</f>
        <v>Nominal</v>
      </c>
      <c r="G77" s="3" t="s">
        <v>1570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69" t="s">
        <v>1458</v>
      </c>
      <c r="B78" s="28">
        <v>66</v>
      </c>
      <c r="C78" s="26" t="str">
        <f>VLOOKUP(B78,Meta.Features!$A:$G,$C$1,FALSE)</f>
        <v>Patient</v>
      </c>
      <c r="D78" s="66" t="str">
        <f>VLOOKUP(B78,Meta.Features!$A:$G,$D$1,FALSE)</f>
        <v>CausesOfDeath</v>
      </c>
      <c r="E78" s="66" t="str">
        <f>VLOOKUP(B78,Meta.Features!$A:$K,$E$1,FALSE)</f>
        <v>character</v>
      </c>
      <c r="F78" s="66" t="str">
        <f>VLOOKUP(B78,Meta.Features!$A:$K,$F$1,FALSE)</f>
        <v>Nominal</v>
      </c>
      <c r="G78" s="3" t="s">
        <v>1570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69" t="s">
        <v>1458</v>
      </c>
      <c r="B79" s="28">
        <v>75</v>
      </c>
      <c r="C79" s="26" t="str">
        <f>VLOOKUP(B79,Meta.Features!$A:$G,$C$1,FALSE)</f>
        <v>RadiationTherapy</v>
      </c>
      <c r="D79" s="66" t="str">
        <f>VLOOKUP(B79,Meta.Features!$A:$G,$D$1,FALSE)</f>
        <v>RadiationTherapyID</v>
      </c>
      <c r="E79" s="66" t="str">
        <f>VLOOKUP(B79,Meta.Features!$A:$K,$E$1,FALSE)</f>
        <v>character</v>
      </c>
      <c r="F79" s="66" t="str">
        <f>VLOOKUP(B79,Meta.Features!$A:$K,$F$1,FALSE)</f>
        <v>Nominal</v>
      </c>
      <c r="G79" s="3" t="s">
        <v>2470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69" t="s">
        <v>1458</v>
      </c>
      <c r="B80" s="28">
        <v>76</v>
      </c>
      <c r="C80" s="26" t="str">
        <f>VLOOKUP(B80,Meta.Features!$A:$G,$C$1,FALSE)</f>
        <v>RadiationTherapy</v>
      </c>
      <c r="D80" s="66" t="str">
        <f>VLOOKUP(B80,Meta.Features!$A:$G,$D$1,FALSE)</f>
        <v>DiagnosisID</v>
      </c>
      <c r="E80" s="66" t="str">
        <f>VLOOKUP(B80,Meta.Features!$A:$K,$E$1,FALSE)</f>
        <v>character</v>
      </c>
      <c r="F80" s="66" t="str">
        <f>VLOOKUP(B80,Meta.Features!$A:$K,$F$1,FALSE)</f>
        <v>Nominal</v>
      </c>
      <c r="G80" s="3" t="s">
        <v>2470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69" t="s">
        <v>1458</v>
      </c>
      <c r="B81" s="28">
        <v>77</v>
      </c>
      <c r="C81" s="26" t="str">
        <f>VLOOKUP(B81,Meta.Features!$A:$G,$C$1,FALSE)</f>
        <v>RadiationTherapy</v>
      </c>
      <c r="D81" s="66" t="str">
        <f>VLOOKUP(B81,Meta.Features!$A:$G,$D$1,FALSE)</f>
        <v>PatientID</v>
      </c>
      <c r="E81" s="66" t="str">
        <f>VLOOKUP(B81,Meta.Features!$A:$K,$E$1,FALSE)</f>
        <v>character</v>
      </c>
      <c r="F81" s="66" t="str">
        <f>VLOOKUP(B81,Meta.Features!$A:$K,$F$1,FALSE)</f>
        <v>Nominal</v>
      </c>
      <c r="G81" s="3" t="s">
        <v>2470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69" t="s">
        <v>1458</v>
      </c>
      <c r="B82" s="28">
        <v>78</v>
      </c>
      <c r="C82" s="26" t="str">
        <f>VLOOKUP(B82,Meta.Features!$A:$G,$C$1,FALSE)</f>
        <v>RadiationTherapy</v>
      </c>
      <c r="D82" s="66" t="str">
        <f>VLOOKUP(B82,Meta.Features!$A:$G,$D$1,FALSE)</f>
        <v>RelationToSurgery</v>
      </c>
      <c r="E82" s="66" t="str">
        <f>VLOOKUP(B82,Meta.Features!$A:$K,$E$1,FALSE)</f>
        <v>character</v>
      </c>
      <c r="F82" s="66" t="str">
        <f>VLOOKUP(B82,Meta.Features!$A:$K,$F$1,FALSE)</f>
        <v>Nominal</v>
      </c>
      <c r="G82" s="3" t="s">
        <v>1570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69" t="s">
        <v>1458</v>
      </c>
      <c r="B83" s="28">
        <v>79</v>
      </c>
      <c r="C83" s="26" t="str">
        <f>VLOOKUP(B83,Meta.Features!$A:$G,$C$1,FALSE)</f>
        <v>RadiationTherapy</v>
      </c>
      <c r="D83" s="66" t="str">
        <f>VLOOKUP(B83,Meta.Features!$A:$G,$D$1,FALSE)</f>
        <v>Intention</v>
      </c>
      <c r="E83" s="66" t="str">
        <f>VLOOKUP(B83,Meta.Features!$A:$K,$E$1,FALSE)</f>
        <v>character</v>
      </c>
      <c r="F83" s="66" t="str">
        <f>VLOOKUP(B83,Meta.Features!$A:$K,$F$1,FALSE)</f>
        <v>Nominal</v>
      </c>
      <c r="G83" s="3" t="s">
        <v>1570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69" t="s">
        <v>1458</v>
      </c>
      <c r="B84" s="28">
        <v>80</v>
      </c>
      <c r="C84" s="26" t="str">
        <f>VLOOKUP(B84,Meta.Features!$A:$G,$C$1,FALSE)</f>
        <v>RadiationTherapy</v>
      </c>
      <c r="D84" s="66" t="str">
        <f>VLOOKUP(B84,Meta.Features!$A:$G,$D$1,FALSE)</f>
        <v>RadiationTherapyStartDate</v>
      </c>
      <c r="E84" s="66" t="str">
        <f>VLOOKUP(B84,Meta.Features!$A:$K,$E$1,FALSE)</f>
        <v>date</v>
      </c>
      <c r="F84" s="66" t="str">
        <f>VLOOKUP(B84,Meta.Features!$A:$K,$F$1,FALSE)</f>
        <v>Interval</v>
      </c>
      <c r="G84" s="3" t="s">
        <v>2470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69" t="s">
        <v>1458</v>
      </c>
      <c r="B85" s="28">
        <v>81</v>
      </c>
      <c r="C85" s="26" t="str">
        <f>VLOOKUP(B85,Meta.Features!$A:$G,$C$1,FALSE)</f>
        <v>RadiationTherapy</v>
      </c>
      <c r="D85" s="66" t="str">
        <f>VLOOKUP(B85,Meta.Features!$A:$G,$D$1,FALSE)</f>
        <v>RadiationTherapyEndDate</v>
      </c>
      <c r="E85" s="66" t="str">
        <f>VLOOKUP(B85,Meta.Features!$A:$K,$E$1,FALSE)</f>
        <v>date</v>
      </c>
      <c r="F85" s="66" t="str">
        <f>VLOOKUP(B85,Meta.Features!$A:$K,$F$1,FALSE)</f>
        <v>Interval</v>
      </c>
      <c r="G85" s="3" t="s">
        <v>1570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69" t="s">
        <v>1458</v>
      </c>
      <c r="B86" s="28">
        <v>82</v>
      </c>
      <c r="C86" s="26" t="str">
        <f>VLOOKUP(B86,Meta.Features!$A:$G,$C$1,FALSE)</f>
        <v>RadiationTherapy</v>
      </c>
      <c r="D86" s="66" t="str">
        <f>VLOOKUP(B86,Meta.Features!$A:$G,$D$1,FALSE)</f>
        <v>ApplicationType</v>
      </c>
      <c r="E86" s="66" t="str">
        <f>VLOOKUP(B86,Meta.Features!$A:$K,$E$1,FALSE)</f>
        <v>character</v>
      </c>
      <c r="F86" s="66" t="str">
        <f>VLOOKUP(B86,Meta.Features!$A:$K,$F$1,FALSE)</f>
        <v>Nominal</v>
      </c>
      <c r="G86" s="3" t="s">
        <v>1570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69" t="s">
        <v>1458</v>
      </c>
      <c r="B87" s="28">
        <v>83</v>
      </c>
      <c r="C87" s="26" t="str">
        <f>VLOOKUP(B87,Meta.Features!$A:$G,$C$1,FALSE)</f>
        <v>RadiationTherapy</v>
      </c>
      <c r="D87" s="66" t="str">
        <f>VLOOKUP(B87,Meta.Features!$A:$G,$D$1,FALSE)</f>
        <v>RadiationType</v>
      </c>
      <c r="E87" s="66" t="str">
        <f>VLOOKUP(B87,Meta.Features!$A:$K,$E$1,FALSE)</f>
        <v>character</v>
      </c>
      <c r="F87" s="66" t="str">
        <f>VLOOKUP(B87,Meta.Features!$A:$K,$F$1,FALSE)</f>
        <v>Nominal</v>
      </c>
      <c r="G87" s="3" t="s">
        <v>1570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69" t="s">
        <v>1458</v>
      </c>
      <c r="B88" s="28">
        <v>84</v>
      </c>
      <c r="C88" s="26" t="str">
        <f>VLOOKUP(B88,Meta.Features!$A:$G,$C$1,FALSE)</f>
        <v>RadiationTherapy</v>
      </c>
      <c r="D88" s="66" t="str">
        <f>VLOOKUP(B88,Meta.Features!$A:$G,$D$1,FALSE)</f>
        <v>TargetArea</v>
      </c>
      <c r="E88" s="66" t="str">
        <f>VLOOKUP(B88,Meta.Features!$A:$K,$E$1,FALSE)</f>
        <v>character</v>
      </c>
      <c r="F88" s="66" t="str">
        <f>VLOOKUP(B88,Meta.Features!$A:$K,$F$1,FALSE)</f>
        <v>Nominal</v>
      </c>
      <c r="G88" s="3" t="s">
        <v>1570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69" t="s">
        <v>1458</v>
      </c>
      <c r="B89" s="28">
        <v>85</v>
      </c>
      <c r="C89" s="26" t="str">
        <f>VLOOKUP(B89,Meta.Features!$A:$G,$C$1,FALSE)</f>
        <v>RadiationTherapy</v>
      </c>
      <c r="D89" s="66" t="str">
        <f>VLOOKUP(B89,Meta.Features!$A:$G,$D$1,FALSE)</f>
        <v>TargetAreaSide</v>
      </c>
      <c r="E89" s="66" t="str">
        <f>VLOOKUP(B89,Meta.Features!$A:$K,$E$1,FALSE)</f>
        <v>character</v>
      </c>
      <c r="F89" s="66" t="str">
        <f>VLOOKUP(B89,Meta.Features!$A:$K,$F$1,FALSE)</f>
        <v>Nominal</v>
      </c>
      <c r="G89" s="3" t="s">
        <v>1570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69" t="s">
        <v>1458</v>
      </c>
      <c r="B90" s="28">
        <v>86</v>
      </c>
      <c r="C90" s="26" t="str">
        <f>VLOOKUP(B90,Meta.Features!$A:$G,$C$1,FALSE)</f>
        <v>RadiationTherapy</v>
      </c>
      <c r="D90" s="66" t="str">
        <f>VLOOKUP(B90,Meta.Features!$A:$G,$D$1,FALSE)</f>
        <v>TotalDose</v>
      </c>
      <c r="E90" s="66" t="str">
        <f>VLOOKUP(B90,Meta.Features!$A:$K,$E$1,FALSE)</f>
        <v>double</v>
      </c>
      <c r="F90" s="66" t="str">
        <f>VLOOKUP(B90,Meta.Features!$A:$K,$F$1,FALSE)</f>
        <v>Ratio</v>
      </c>
      <c r="G90" s="3" t="s">
        <v>1570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69" t="s">
        <v>1458</v>
      </c>
      <c r="B91" s="28">
        <v>87</v>
      </c>
      <c r="C91" s="26" t="str">
        <f>VLOOKUP(B91,Meta.Features!$A:$G,$C$1,FALSE)</f>
        <v>RadiationTherapy</v>
      </c>
      <c r="D91" s="66" t="str">
        <f>VLOOKUP(B91,Meta.Features!$A:$G,$D$1,FALSE)</f>
        <v>TotalDoseUnit</v>
      </c>
      <c r="E91" s="66" t="str">
        <f>VLOOKUP(B91,Meta.Features!$A:$K,$E$1,FALSE)</f>
        <v>character</v>
      </c>
      <c r="F91" s="66" t="str">
        <f>VLOOKUP(B91,Meta.Features!$A:$K,$F$1,FALSE)</f>
        <v>Nominal</v>
      </c>
      <c r="G91" s="3" t="s">
        <v>1570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69" t="s">
        <v>1458</v>
      </c>
      <c r="B92" s="28">
        <v>88</v>
      </c>
      <c r="C92" s="26" t="str">
        <f>VLOOKUP(B92,Meta.Features!$A:$G,$C$1,FALSE)</f>
        <v>RadiationTherapy</v>
      </c>
      <c r="D92" s="66" t="str">
        <f>VLOOKUP(B92,Meta.Features!$A:$G,$D$1,FALSE)</f>
        <v>SingleDailyDose</v>
      </c>
      <c r="E92" s="66" t="str">
        <f>VLOOKUP(B92,Meta.Features!$A:$K,$E$1,FALSE)</f>
        <v>double</v>
      </c>
      <c r="F92" s="66" t="str">
        <f>VLOOKUP(B92,Meta.Features!$A:$K,$F$1,FALSE)</f>
        <v>Ratio</v>
      </c>
      <c r="G92" s="3" t="s">
        <v>1570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69" t="s">
        <v>1458</v>
      </c>
      <c r="B93" s="28">
        <v>89</v>
      </c>
      <c r="C93" s="26" t="str">
        <f>VLOOKUP(B93,Meta.Features!$A:$G,$C$1,FALSE)</f>
        <v>RadiationTherapy</v>
      </c>
      <c r="D93" s="66" t="str">
        <f>VLOOKUP(B93,Meta.Features!$A:$G,$D$1,FALSE)</f>
        <v>SingleDailyDoseUnit</v>
      </c>
      <c r="E93" s="66" t="str">
        <f>VLOOKUP(B93,Meta.Features!$A:$K,$E$1,FALSE)</f>
        <v>character</v>
      </c>
      <c r="F93" s="66" t="str">
        <f>VLOOKUP(B93,Meta.Features!$A:$K,$F$1,FALSE)</f>
        <v>Nominal</v>
      </c>
      <c r="G93" s="3" t="s">
        <v>1570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69" t="s">
        <v>1458</v>
      </c>
      <c r="B94" s="28">
        <v>90</v>
      </c>
      <c r="C94" s="26" t="str">
        <f>VLOOKUP(B94,Meta.Features!$A:$G,$C$1,FALSE)</f>
        <v>RadiationTherapy</v>
      </c>
      <c r="D94" s="66" t="str">
        <f>VLOOKUP(B94,Meta.Features!$A:$G,$D$1,FALSE)</f>
        <v>Boost</v>
      </c>
      <c r="E94" s="66" t="str">
        <f>VLOOKUP(B94,Meta.Features!$A:$K,$E$1,FALSE)</f>
        <v>character</v>
      </c>
      <c r="F94" s="66" t="str">
        <f>VLOOKUP(B94,Meta.Features!$A:$K,$F$1,FALSE)</f>
        <v>Nominal</v>
      </c>
      <c r="G94" s="3" t="s">
        <v>1570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69" t="s">
        <v>1458</v>
      </c>
      <c r="B95" s="28">
        <v>91</v>
      </c>
      <c r="C95" s="26" t="str">
        <f>VLOOKUP(B95,Meta.Features!$A:$G,$C$1,FALSE)</f>
        <v>RadiationTherapy</v>
      </c>
      <c r="D95" s="66" t="str">
        <f>VLOOKUP(B95,Meta.Features!$A:$G,$D$1,FALSE)</f>
        <v>EndReason</v>
      </c>
      <c r="E95" s="66" t="str">
        <f>VLOOKUP(B95,Meta.Features!$A:$K,$E$1,FALSE)</f>
        <v>character</v>
      </c>
      <c r="F95" s="66" t="str">
        <f>VLOOKUP(B95,Meta.Features!$A:$K,$F$1,FALSE)</f>
        <v>Nominal</v>
      </c>
      <c r="G95" s="3" t="s">
        <v>1570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69" t="s">
        <v>1458</v>
      </c>
      <c r="B96" s="28">
        <v>92</v>
      </c>
      <c r="C96" s="26" t="str">
        <f>VLOOKUP(B96,Meta.Features!$A:$G,$C$1,FALSE)</f>
        <v>RadiationTherapy</v>
      </c>
      <c r="D96" s="66" t="str">
        <f>VLOOKUP(B96,Meta.Features!$A:$G,$D$1,FALSE)</f>
        <v>AdverseEventGrade</v>
      </c>
      <c r="E96" s="66" t="str">
        <f>VLOOKUP(B96,Meta.Features!$A:$K,$E$1,FALSE)</f>
        <v>character</v>
      </c>
      <c r="F96" s="66" t="str">
        <f>VLOOKUP(B96,Meta.Features!$A:$K,$F$1,FALSE)</f>
        <v>Nominal</v>
      </c>
      <c r="G96" s="3" t="s">
        <v>1570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69" t="s">
        <v>1458</v>
      </c>
      <c r="B97" s="28">
        <v>93</v>
      </c>
      <c r="C97" s="26" t="str">
        <f>VLOOKUP(B97,Meta.Features!$A:$G,$C$1,FALSE)</f>
        <v>RadiationTherapy</v>
      </c>
      <c r="D97" s="66" t="str">
        <f>VLOOKUP(B97,Meta.Features!$A:$G,$D$1,FALSE)</f>
        <v>AdverseEventType</v>
      </c>
      <c r="E97" s="66" t="str">
        <f>VLOOKUP(B97,Meta.Features!$A:$K,$E$1,FALSE)</f>
        <v>character</v>
      </c>
      <c r="F97" s="66" t="str">
        <f>VLOOKUP(B97,Meta.Features!$A:$K,$F$1,FALSE)</f>
        <v>Nominal</v>
      </c>
      <c r="G97" s="3" t="s">
        <v>1570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69" t="s">
        <v>1458</v>
      </c>
      <c r="B98" s="28">
        <v>94</v>
      </c>
      <c r="C98" s="26" t="str">
        <f>VLOOKUP(B98,Meta.Features!$A:$G,$C$1,FALSE)</f>
        <v>RadiationTherapy</v>
      </c>
      <c r="D98" s="66" t="str">
        <f>VLOOKUP(B98,Meta.Features!$A:$G,$D$1,FALSE)</f>
        <v>AdverseEventVersion</v>
      </c>
      <c r="E98" s="66" t="str">
        <f>VLOOKUP(B98,Meta.Features!$A:$K,$E$1,FALSE)</f>
        <v>character</v>
      </c>
      <c r="F98" s="66" t="str">
        <f>VLOOKUP(B98,Meta.Features!$A:$K,$F$1,FALSE)</f>
        <v>Nominal</v>
      </c>
      <c r="G98" s="3" t="s">
        <v>1570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69" t="s">
        <v>1458</v>
      </c>
      <c r="B99" s="28">
        <v>95</v>
      </c>
      <c r="C99" s="26" t="str">
        <f>VLOOKUP(B99,Meta.Features!$A:$G,$C$1,FALSE)</f>
        <v>Staging</v>
      </c>
      <c r="D99" s="66" t="str">
        <f>VLOOKUP(B99,Meta.Features!$A:$G,$D$1,FALSE)</f>
        <v>StagingID</v>
      </c>
      <c r="E99" s="66" t="str">
        <f>VLOOKUP(B99,Meta.Features!$A:$K,$E$1,FALSE)</f>
        <v>character</v>
      </c>
      <c r="F99" s="66" t="str">
        <f>VLOOKUP(B99,Meta.Features!$A:$K,$F$1,FALSE)</f>
        <v>Nominal</v>
      </c>
      <c r="G99" s="3" t="s">
        <v>2470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69" t="s">
        <v>1458</v>
      </c>
      <c r="B100" s="28">
        <v>96</v>
      </c>
      <c r="C100" s="26" t="str">
        <f>VLOOKUP(B100,Meta.Features!$A:$G,$C$1,FALSE)</f>
        <v>Staging</v>
      </c>
      <c r="D100" s="66" t="str">
        <f>VLOOKUP(B100,Meta.Features!$A:$G,$D$1,FALSE)</f>
        <v>DiagnosisID</v>
      </c>
      <c r="E100" s="66" t="str">
        <f>VLOOKUP(B100,Meta.Features!$A:$K,$E$1,FALSE)</f>
        <v>character</v>
      </c>
      <c r="F100" s="66" t="str">
        <f>VLOOKUP(B100,Meta.Features!$A:$K,$F$1,FALSE)</f>
        <v>Nominal</v>
      </c>
      <c r="G100" s="3" t="s">
        <v>2470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69" t="s">
        <v>1458</v>
      </c>
      <c r="B101" s="28">
        <v>97</v>
      </c>
      <c r="C101" s="26" t="str">
        <f>VLOOKUP(B101,Meta.Features!$A:$G,$C$1,FALSE)</f>
        <v>Staging</v>
      </c>
      <c r="D101" s="66" t="str">
        <f>VLOOKUP(B101,Meta.Features!$A:$G,$D$1,FALSE)</f>
        <v>PatientID</v>
      </c>
      <c r="E101" s="66" t="str">
        <f>VLOOKUP(B101,Meta.Features!$A:$K,$E$1,FALSE)</f>
        <v>character</v>
      </c>
      <c r="F101" s="66" t="str">
        <f>VLOOKUP(B101,Meta.Features!$A:$K,$F$1,FALSE)</f>
        <v>Nominal</v>
      </c>
      <c r="G101" s="3" t="s">
        <v>2470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69" t="s">
        <v>1458</v>
      </c>
      <c r="B102" s="28">
        <v>98</v>
      </c>
      <c r="C102" s="26" t="str">
        <f>VLOOKUP(B102,Meta.Features!$A:$G,$C$1,FALSE)</f>
        <v>Staging</v>
      </c>
      <c r="D102" s="66" t="str">
        <f>VLOOKUP(B102,Meta.Features!$A:$G,$D$1,FALSE)</f>
        <v>StagingDate</v>
      </c>
      <c r="E102" s="66" t="str">
        <f>VLOOKUP(B102,Meta.Features!$A:$K,$E$1,FALSE)</f>
        <v>date</v>
      </c>
      <c r="F102" s="66" t="str">
        <f>VLOOKUP(B102,Meta.Features!$A:$K,$F$1,FALSE)</f>
        <v>Interval</v>
      </c>
      <c r="G102" s="3" t="s">
        <v>2470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69" t="s">
        <v>1458</v>
      </c>
      <c r="B103" s="28">
        <v>99</v>
      </c>
      <c r="C103" s="26" t="str">
        <f>VLOOKUP(B103,Meta.Features!$A:$G,$C$1,FALSE)</f>
        <v>Staging</v>
      </c>
      <c r="D103" s="66" t="str">
        <f>VLOOKUP(B103,Meta.Features!$A:$G,$D$1,FALSE)</f>
        <v>UICCStage</v>
      </c>
      <c r="E103" s="66" t="str">
        <f>VLOOKUP(B103,Meta.Features!$A:$K,$E$1,FALSE)</f>
        <v>character</v>
      </c>
      <c r="F103" s="66" t="str">
        <f>VLOOKUP(B103,Meta.Features!$A:$K,$F$1,FALSE)</f>
        <v>Nominal</v>
      </c>
      <c r="G103" s="1" t="s">
        <v>2221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69" t="s">
        <v>1458</v>
      </c>
      <c r="B104" s="28">
        <v>100</v>
      </c>
      <c r="C104" s="26" t="str">
        <f>VLOOKUP(B104,Meta.Features!$A:$G,$C$1,FALSE)</f>
        <v>Staging</v>
      </c>
      <c r="D104" s="66" t="str">
        <f>VLOOKUP(B104,Meta.Features!$A:$G,$D$1,FALSE)</f>
        <v>TNM.T</v>
      </c>
      <c r="E104" s="66" t="str">
        <f>VLOOKUP(B104,Meta.Features!$A:$K,$E$1,FALSE)</f>
        <v>character</v>
      </c>
      <c r="F104" s="66" t="str">
        <f>VLOOKUP(B104,Meta.Features!$A:$K,$F$1,FALSE)</f>
        <v>Nominal</v>
      </c>
      <c r="G104" s="1" t="s">
        <v>2221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69" t="s">
        <v>1458</v>
      </c>
      <c r="B105" s="28">
        <v>101</v>
      </c>
      <c r="C105" s="26" t="str">
        <f>VLOOKUP(B105,Meta.Features!$A:$G,$C$1,FALSE)</f>
        <v>Staging</v>
      </c>
      <c r="D105" s="66" t="str">
        <f>VLOOKUP(B105,Meta.Features!$A:$G,$D$1,FALSE)</f>
        <v>TNM.N</v>
      </c>
      <c r="E105" s="66" t="str">
        <f>VLOOKUP(B105,Meta.Features!$A:$K,$E$1,FALSE)</f>
        <v>character</v>
      </c>
      <c r="F105" s="66" t="str">
        <f>VLOOKUP(B105,Meta.Features!$A:$K,$F$1,FALSE)</f>
        <v>Nominal</v>
      </c>
      <c r="G105" s="3" t="s">
        <v>2470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69" t="s">
        <v>1458</v>
      </c>
      <c r="B106" s="28">
        <v>102</v>
      </c>
      <c r="C106" s="26" t="str">
        <f>VLOOKUP(B106,Meta.Features!$A:$G,$C$1,FALSE)</f>
        <v>Staging</v>
      </c>
      <c r="D106" s="66" t="str">
        <f>VLOOKUP(B106,Meta.Features!$A:$G,$D$1,FALSE)</f>
        <v>TNM.M</v>
      </c>
      <c r="E106" s="66" t="str">
        <f>VLOOKUP(B106,Meta.Features!$A:$K,$E$1,FALSE)</f>
        <v>character</v>
      </c>
      <c r="F106" s="66" t="str">
        <f>VLOOKUP(B106,Meta.Features!$A:$K,$F$1,FALSE)</f>
        <v>Nominal</v>
      </c>
      <c r="G106" s="3" t="s">
        <v>2470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69" t="s">
        <v>1458</v>
      </c>
      <c r="B107" s="28">
        <v>103</v>
      </c>
      <c r="C107" s="26" t="str">
        <f>VLOOKUP(B107,Meta.Features!$A:$G,$C$1,FALSE)</f>
        <v>Staging</v>
      </c>
      <c r="D107" s="66" t="str">
        <f>VLOOKUP(B107,Meta.Features!$A:$G,$D$1,FALSE)</f>
        <v>TNM.T.Prefix</v>
      </c>
      <c r="E107" s="66" t="str">
        <f>VLOOKUP(B107,Meta.Features!$A:$K,$E$1,FALSE)</f>
        <v>character</v>
      </c>
      <c r="F107" s="66" t="str">
        <f>VLOOKUP(B107,Meta.Features!$A:$K,$F$1,FALSE)</f>
        <v>Nominal</v>
      </c>
      <c r="G107" s="3" t="s">
        <v>1570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69" t="s">
        <v>1458</v>
      </c>
      <c r="B108" s="28">
        <v>104</v>
      </c>
      <c r="C108" s="26" t="str">
        <f>VLOOKUP(B108,Meta.Features!$A:$G,$C$1,FALSE)</f>
        <v>Staging</v>
      </c>
      <c r="D108" s="66" t="str">
        <f>VLOOKUP(B108,Meta.Features!$A:$G,$D$1,FALSE)</f>
        <v>TNM.N.Prefix</v>
      </c>
      <c r="E108" s="66" t="str">
        <f>VLOOKUP(B108,Meta.Features!$A:$K,$E$1,FALSE)</f>
        <v>character</v>
      </c>
      <c r="F108" s="66" t="str">
        <f>VLOOKUP(B108,Meta.Features!$A:$K,$F$1,FALSE)</f>
        <v>Nominal</v>
      </c>
      <c r="G108" s="3" t="s">
        <v>1570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69" t="s">
        <v>1458</v>
      </c>
      <c r="B109" s="28">
        <v>105</v>
      </c>
      <c r="C109" s="26" t="str">
        <f>VLOOKUP(B109,Meta.Features!$A:$G,$C$1,FALSE)</f>
        <v>Staging</v>
      </c>
      <c r="D109" s="66" t="str">
        <f>VLOOKUP(B109,Meta.Features!$A:$G,$D$1,FALSE)</f>
        <v>TNM.M.Prefix</v>
      </c>
      <c r="E109" s="66" t="str">
        <f>VLOOKUP(B109,Meta.Features!$A:$K,$E$1,FALSE)</f>
        <v>character</v>
      </c>
      <c r="F109" s="66" t="str">
        <f>VLOOKUP(B109,Meta.Features!$A:$K,$F$1,FALSE)</f>
        <v>Nominal</v>
      </c>
      <c r="G109" s="3" t="s">
        <v>1570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69" t="s">
        <v>1458</v>
      </c>
      <c r="B110" s="28">
        <v>106</v>
      </c>
      <c r="C110" s="26" t="str">
        <f>VLOOKUP(B110,Meta.Features!$A:$G,$C$1,FALSE)</f>
        <v>Staging</v>
      </c>
      <c r="D110" s="66" t="str">
        <f>VLOOKUP(B110,Meta.Features!$A:$G,$D$1,FALSE)</f>
        <v>TNM.ySymbol</v>
      </c>
      <c r="E110" s="66" t="str">
        <f>VLOOKUP(B110,Meta.Features!$A:$K,$E$1,FALSE)</f>
        <v>character</v>
      </c>
      <c r="F110" s="66" t="str">
        <f>VLOOKUP(B110,Meta.Features!$A:$K,$F$1,FALSE)</f>
        <v>Nominal</v>
      </c>
      <c r="G110" s="3" t="s">
        <v>1570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69" t="s">
        <v>1458</v>
      </c>
      <c r="B111" s="28">
        <v>107</v>
      </c>
      <c r="C111" s="26" t="str">
        <f>VLOOKUP(B111,Meta.Features!$A:$G,$C$1,FALSE)</f>
        <v>Staging</v>
      </c>
      <c r="D111" s="66" t="str">
        <f>VLOOKUP(B111,Meta.Features!$A:$G,$D$1,FALSE)</f>
        <v>TNM.rSymbol</v>
      </c>
      <c r="E111" s="66" t="str">
        <f>VLOOKUP(B111,Meta.Features!$A:$K,$E$1,FALSE)</f>
        <v>character</v>
      </c>
      <c r="F111" s="66" t="str">
        <f>VLOOKUP(B111,Meta.Features!$A:$K,$F$1,FALSE)</f>
        <v>Nominal</v>
      </c>
      <c r="G111" s="3" t="s">
        <v>1570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69" t="s">
        <v>1458</v>
      </c>
      <c r="B112" s="28">
        <v>108</v>
      </c>
      <c r="C112" s="26" t="str">
        <f>VLOOKUP(B112,Meta.Features!$A:$G,$C$1,FALSE)</f>
        <v>Staging</v>
      </c>
      <c r="D112" s="66" t="str">
        <f>VLOOKUP(B112,Meta.Features!$A:$G,$D$1,FALSE)</f>
        <v>TNM.mSymbol</v>
      </c>
      <c r="E112" s="66" t="str">
        <f>VLOOKUP(B112,Meta.Features!$A:$K,$E$1,FALSE)</f>
        <v>character</v>
      </c>
      <c r="F112" s="66" t="str">
        <f>VLOOKUP(B112,Meta.Features!$A:$K,$F$1,FALSE)</f>
        <v>Nominal</v>
      </c>
      <c r="G112" s="3" t="s">
        <v>1570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69" t="s">
        <v>1458</v>
      </c>
      <c r="B113" s="28">
        <v>109</v>
      </c>
      <c r="C113" s="26" t="str">
        <f>VLOOKUP(B113,Meta.Features!$A:$G,$C$1,FALSE)</f>
        <v>Staging</v>
      </c>
      <c r="D113" s="66" t="str">
        <f>VLOOKUP(B113,Meta.Features!$A:$G,$D$1,FALSE)</f>
        <v>TNMVersion</v>
      </c>
      <c r="E113" s="66" t="str">
        <f>VLOOKUP(B113,Meta.Features!$A:$K,$E$1,FALSE)</f>
        <v>character</v>
      </c>
      <c r="F113" s="66" t="str">
        <f>VLOOKUP(B113,Meta.Features!$A:$K,$F$1,FALSE)</f>
        <v>Nominal</v>
      </c>
      <c r="G113" s="3" t="s">
        <v>1570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69" t="s">
        <v>1458</v>
      </c>
      <c r="B114" s="28">
        <v>110</v>
      </c>
      <c r="C114" s="26" t="str">
        <f>VLOOKUP(B114,Meta.Features!$A:$G,$C$1,FALSE)</f>
        <v>Staging</v>
      </c>
      <c r="D114" s="66" t="str">
        <f>VLOOKUP(B114,Meta.Features!$A:$G,$D$1,FALSE)</f>
        <v>TNM.L</v>
      </c>
      <c r="E114" s="66" t="str">
        <f>VLOOKUP(B114,Meta.Features!$A:$K,$E$1,FALSE)</f>
        <v>character</v>
      </c>
      <c r="F114" s="66" t="str">
        <f>VLOOKUP(B114,Meta.Features!$A:$K,$F$1,FALSE)</f>
        <v>Nominal</v>
      </c>
      <c r="G114" s="3" t="s">
        <v>1570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69" t="s">
        <v>1458</v>
      </c>
      <c r="B115" s="28">
        <v>111</v>
      </c>
      <c r="C115" s="26" t="str">
        <f>VLOOKUP(B115,Meta.Features!$A:$G,$C$1,FALSE)</f>
        <v>Staging</v>
      </c>
      <c r="D115" s="66" t="str">
        <f>VLOOKUP(B115,Meta.Features!$A:$G,$D$1,FALSE)</f>
        <v>TNM.V</v>
      </c>
      <c r="E115" s="66" t="str">
        <f>VLOOKUP(B115,Meta.Features!$A:$K,$E$1,FALSE)</f>
        <v>character</v>
      </c>
      <c r="F115" s="66" t="str">
        <f>VLOOKUP(B115,Meta.Features!$A:$K,$F$1,FALSE)</f>
        <v>Nominal</v>
      </c>
      <c r="G115" s="3" t="s">
        <v>1570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69" t="s">
        <v>1458</v>
      </c>
      <c r="B116" s="28">
        <v>112</v>
      </c>
      <c r="C116" s="26" t="str">
        <f>VLOOKUP(B116,Meta.Features!$A:$G,$C$1,FALSE)</f>
        <v>Staging</v>
      </c>
      <c r="D116" s="66" t="str">
        <f>VLOOKUP(B116,Meta.Features!$A:$G,$D$1,FALSE)</f>
        <v>TNM.Pn</v>
      </c>
      <c r="E116" s="66" t="str">
        <f>VLOOKUP(B116,Meta.Features!$A:$K,$E$1,FALSE)</f>
        <v>character</v>
      </c>
      <c r="F116" s="66" t="str">
        <f>VLOOKUP(B116,Meta.Features!$A:$K,$F$1,FALSE)</f>
        <v>Nominal</v>
      </c>
      <c r="G116" s="3" t="s">
        <v>1570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69" t="s">
        <v>1458</v>
      </c>
      <c r="B117" s="28">
        <v>113</v>
      </c>
      <c r="C117" s="26" t="str">
        <f>VLOOKUP(B117,Meta.Features!$A:$G,$C$1,FALSE)</f>
        <v>Staging</v>
      </c>
      <c r="D117" s="66" t="str">
        <f>VLOOKUP(B117,Meta.Features!$A:$G,$D$1,FALSE)</f>
        <v>TNM.S</v>
      </c>
      <c r="E117" s="66" t="str">
        <f>VLOOKUP(B117,Meta.Features!$A:$K,$E$1,FALSE)</f>
        <v>character</v>
      </c>
      <c r="F117" s="66" t="str">
        <f>VLOOKUP(B117,Meta.Features!$A:$K,$F$1,FALSE)</f>
        <v>Nominal</v>
      </c>
      <c r="G117" s="3" t="s">
        <v>1570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69" t="s">
        <v>1458</v>
      </c>
      <c r="B118" s="28">
        <v>114</v>
      </c>
      <c r="C118" s="26" t="str">
        <f>VLOOKUP(B118,Meta.Features!$A:$G,$C$1,FALSE)</f>
        <v>Surgery</v>
      </c>
      <c r="D118" s="66" t="str">
        <f>VLOOKUP(B118,Meta.Features!$A:$G,$D$1,FALSE)</f>
        <v>SurgeryID</v>
      </c>
      <c r="E118" s="66" t="str">
        <f>VLOOKUP(B118,Meta.Features!$A:$K,$E$1,FALSE)</f>
        <v>character</v>
      </c>
      <c r="F118" s="66" t="str">
        <f>VLOOKUP(B118,Meta.Features!$A:$K,$F$1,FALSE)</f>
        <v>Nominal</v>
      </c>
      <c r="G118" s="3" t="s">
        <v>2470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69" t="s">
        <v>1458</v>
      </c>
      <c r="B119" s="28">
        <v>115</v>
      </c>
      <c r="C119" s="26" t="str">
        <f>VLOOKUP(B119,Meta.Features!$A:$G,$C$1,FALSE)</f>
        <v>Surgery</v>
      </c>
      <c r="D119" s="66" t="str">
        <f>VLOOKUP(B119,Meta.Features!$A:$G,$D$1,FALSE)</f>
        <v>DiagnosisID</v>
      </c>
      <c r="E119" s="66" t="str">
        <f>VLOOKUP(B119,Meta.Features!$A:$K,$E$1,FALSE)</f>
        <v>character</v>
      </c>
      <c r="F119" s="66" t="str">
        <f>VLOOKUP(B119,Meta.Features!$A:$K,$F$1,FALSE)</f>
        <v>Nominal</v>
      </c>
      <c r="G119" s="3" t="s">
        <v>2470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69" t="s">
        <v>1458</v>
      </c>
      <c r="B120" s="28">
        <v>116</v>
      </c>
      <c r="C120" s="26" t="str">
        <f>VLOOKUP(B120,Meta.Features!$A:$G,$C$1,FALSE)</f>
        <v>Surgery</v>
      </c>
      <c r="D120" s="66" t="str">
        <f>VLOOKUP(B120,Meta.Features!$A:$G,$D$1,FALSE)</f>
        <v>PatientID</v>
      </c>
      <c r="E120" s="66" t="str">
        <f>VLOOKUP(B120,Meta.Features!$A:$K,$E$1,FALSE)</f>
        <v>character</v>
      </c>
      <c r="F120" s="66" t="str">
        <f>VLOOKUP(B120,Meta.Features!$A:$K,$F$1,FALSE)</f>
        <v>Nominal</v>
      </c>
      <c r="G120" s="3" t="s">
        <v>2470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69" t="s">
        <v>1458</v>
      </c>
      <c r="B121" s="28">
        <v>117</v>
      </c>
      <c r="C121" s="26" t="str">
        <f>VLOOKUP(B121,Meta.Features!$A:$G,$C$1,FALSE)</f>
        <v>Surgery</v>
      </c>
      <c r="D121" s="66" t="str">
        <f>VLOOKUP(B121,Meta.Features!$A:$G,$D$1,FALSE)</f>
        <v>OPSCode</v>
      </c>
      <c r="E121" s="66" t="str">
        <f>VLOOKUP(B121,Meta.Features!$A:$K,$E$1,FALSE)</f>
        <v>character</v>
      </c>
      <c r="F121" s="66" t="str">
        <f>VLOOKUP(B121,Meta.Features!$A:$K,$F$1,FALSE)</f>
        <v>Nominal</v>
      </c>
      <c r="G121" s="3" t="s">
        <v>2470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69" t="s">
        <v>1458</v>
      </c>
      <c r="B122" s="28">
        <v>118</v>
      </c>
      <c r="C122" s="26" t="str">
        <f>VLOOKUP(B122,Meta.Features!$A:$G,$C$1,FALSE)</f>
        <v>Surgery</v>
      </c>
      <c r="D122" s="66" t="str">
        <f>VLOOKUP(B122,Meta.Features!$A:$G,$D$1,FALSE)</f>
        <v>OPSVersion</v>
      </c>
      <c r="E122" s="66" t="str">
        <f>VLOOKUP(B122,Meta.Features!$A:$K,$E$1,FALSE)</f>
        <v>character</v>
      </c>
      <c r="F122" s="66" t="str">
        <f>VLOOKUP(B122,Meta.Features!$A:$K,$F$1,FALSE)</f>
        <v>Nominal</v>
      </c>
      <c r="G122" s="3" t="s">
        <v>1570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69" t="s">
        <v>1458</v>
      </c>
      <c r="B123" s="28">
        <v>119</v>
      </c>
      <c r="C123" s="26" t="str">
        <f>VLOOKUP(B123,Meta.Features!$A:$G,$C$1,FALSE)</f>
        <v>Surgery</v>
      </c>
      <c r="D123" s="66" t="str">
        <f>VLOOKUP(B123,Meta.Features!$A:$G,$D$1,FALSE)</f>
        <v>SurgeryDate</v>
      </c>
      <c r="E123" s="66" t="str">
        <f>VLOOKUP(B123,Meta.Features!$A:$K,$E$1,FALSE)</f>
        <v>date</v>
      </c>
      <c r="F123" s="66" t="str">
        <f>VLOOKUP(B123,Meta.Features!$A:$K,$F$1,FALSE)</f>
        <v>Interval</v>
      </c>
      <c r="G123" s="3" t="s">
        <v>2470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69" t="s">
        <v>1458</v>
      </c>
      <c r="B124" s="28">
        <v>120</v>
      </c>
      <c r="C124" s="26" t="str">
        <f>VLOOKUP(B124,Meta.Features!$A:$G,$C$1,FALSE)</f>
        <v>Surgery</v>
      </c>
      <c r="D124" s="66" t="str">
        <f>VLOOKUP(B124,Meta.Features!$A:$G,$D$1,FALSE)</f>
        <v>Intention</v>
      </c>
      <c r="E124" s="66" t="str">
        <f>VLOOKUP(B124,Meta.Features!$A:$K,$E$1,FALSE)</f>
        <v>character</v>
      </c>
      <c r="F124" s="66" t="str">
        <f>VLOOKUP(B124,Meta.Features!$A:$K,$F$1,FALSE)</f>
        <v>Nominal</v>
      </c>
      <c r="G124" s="3" t="s">
        <v>1570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69" t="s">
        <v>1458</v>
      </c>
      <c r="B125" s="28">
        <v>121</v>
      </c>
      <c r="C125" s="26" t="str">
        <f>VLOOKUP(B125,Meta.Features!$A:$G,$C$1,FALSE)</f>
        <v>Surgery</v>
      </c>
      <c r="D125" s="66" t="str">
        <f>VLOOKUP(B125,Meta.Features!$A:$G,$D$1,FALSE)</f>
        <v>ResidualAssessmentLocal</v>
      </c>
      <c r="E125" s="66" t="str">
        <f>VLOOKUP(B125,Meta.Features!$A:$K,$E$1,FALSE)</f>
        <v>character</v>
      </c>
      <c r="F125" s="66" t="str">
        <f>VLOOKUP(B125,Meta.Features!$A:$K,$F$1,FALSE)</f>
        <v>Nominal</v>
      </c>
      <c r="G125" s="3" t="s">
        <v>1570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69" t="s">
        <v>1458</v>
      </c>
      <c r="B126" s="28">
        <v>122</v>
      </c>
      <c r="C126" s="26" t="str">
        <f>VLOOKUP(B126,Meta.Features!$A:$G,$C$1,FALSE)</f>
        <v>Surgery</v>
      </c>
      <c r="D126" s="66" t="str">
        <f>VLOOKUP(B126,Meta.Features!$A:$G,$D$1,FALSE)</f>
        <v>ResidualAssessmentTotal</v>
      </c>
      <c r="E126" s="66" t="str">
        <f>VLOOKUP(B126,Meta.Features!$A:$K,$E$1,FALSE)</f>
        <v>character</v>
      </c>
      <c r="F126" s="66" t="str">
        <f>VLOOKUP(B126,Meta.Features!$A:$K,$F$1,FALSE)</f>
        <v>Nominal</v>
      </c>
      <c r="G126" s="3" t="s">
        <v>1570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69" t="s">
        <v>1458</v>
      </c>
      <c r="B127" s="28">
        <v>123</v>
      </c>
      <c r="C127" s="26" t="str">
        <f>VLOOKUP(B127,Meta.Features!$A:$G,$C$1,FALSE)</f>
        <v>Surgery</v>
      </c>
      <c r="D127" s="66" t="str">
        <f>VLOOKUP(B127,Meta.Features!$A:$G,$D$1,FALSE)</f>
        <v>SurgeryComplicationsICD10</v>
      </c>
      <c r="E127" s="66" t="str">
        <f>VLOOKUP(B127,Meta.Features!$A:$K,$E$1,FALSE)</f>
        <v>character</v>
      </c>
      <c r="F127" s="66" t="str">
        <f>VLOOKUP(B127,Meta.Features!$A:$K,$F$1,FALSE)</f>
        <v>Nominal</v>
      </c>
      <c r="G127" s="3" t="s">
        <v>1570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69" t="s">
        <v>1458</v>
      </c>
      <c r="B128" s="28">
        <v>124</v>
      </c>
      <c r="C128" s="26" t="str">
        <f>VLOOKUP(B128,Meta.Features!$A:$G,$C$1,FALSE)</f>
        <v>Surgery</v>
      </c>
      <c r="D128" s="66" t="str">
        <f>VLOOKUP(B128,Meta.Features!$A:$G,$D$1,FALSE)</f>
        <v>SurgeryComplicationsADT</v>
      </c>
      <c r="E128" s="66" t="str">
        <f>VLOOKUP(B128,Meta.Features!$A:$K,$E$1,FALSE)</f>
        <v>character</v>
      </c>
      <c r="F128" s="66" t="str">
        <f>VLOOKUP(B128,Meta.Features!$A:$K,$F$1,FALSE)</f>
        <v>Nominal</v>
      </c>
      <c r="G128" s="3" t="s">
        <v>1570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69" t="s">
        <v>1458</v>
      </c>
      <c r="B129" s="28">
        <v>125</v>
      </c>
      <c r="C129" s="26" t="str">
        <f>VLOOKUP(B129,Meta.Features!$A:$G,$C$1,FALSE)</f>
        <v>SystemicTherapy</v>
      </c>
      <c r="D129" s="66" t="str">
        <f>VLOOKUP(B129,Meta.Features!$A:$G,$D$1,FALSE)</f>
        <v>SystemicTherapyID</v>
      </c>
      <c r="E129" s="66" t="str">
        <f>VLOOKUP(B129,Meta.Features!$A:$K,$E$1,FALSE)</f>
        <v>character</v>
      </c>
      <c r="F129" s="66" t="str">
        <f>VLOOKUP(B129,Meta.Features!$A:$K,$F$1,FALSE)</f>
        <v>Nominal</v>
      </c>
      <c r="G129" s="3" t="s">
        <v>2470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69" t="s">
        <v>1458</v>
      </c>
      <c r="B130" s="28">
        <v>126</v>
      </c>
      <c r="C130" s="26" t="str">
        <f>VLOOKUP(B130,Meta.Features!$A:$G,$C$1,FALSE)</f>
        <v>SystemicTherapy</v>
      </c>
      <c r="D130" s="66" t="str">
        <f>VLOOKUP(B130,Meta.Features!$A:$G,$D$1,FALSE)</f>
        <v>DiagnosisID</v>
      </c>
      <c r="E130" s="66" t="str">
        <f>VLOOKUP(B130,Meta.Features!$A:$K,$E$1,FALSE)</f>
        <v>character</v>
      </c>
      <c r="F130" s="66" t="str">
        <f>VLOOKUP(B130,Meta.Features!$A:$K,$F$1,FALSE)</f>
        <v>Nominal</v>
      </c>
      <c r="G130" s="3" t="s">
        <v>2470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69" t="s">
        <v>1458</v>
      </c>
      <c r="B131" s="28">
        <v>127</v>
      </c>
      <c r="C131" s="26" t="str">
        <f>VLOOKUP(B131,Meta.Features!$A:$G,$C$1,FALSE)</f>
        <v>SystemicTherapy</v>
      </c>
      <c r="D131" s="66" t="str">
        <f>VLOOKUP(B131,Meta.Features!$A:$G,$D$1,FALSE)</f>
        <v>PatientID</v>
      </c>
      <c r="E131" s="66" t="str">
        <f>VLOOKUP(B131,Meta.Features!$A:$K,$E$1,FALSE)</f>
        <v>character</v>
      </c>
      <c r="F131" s="66" t="str">
        <f>VLOOKUP(B131,Meta.Features!$A:$K,$F$1,FALSE)</f>
        <v>Nominal</v>
      </c>
      <c r="G131" s="3" t="s">
        <v>2470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69" t="s">
        <v>1458</v>
      </c>
      <c r="B132" s="28">
        <v>128</v>
      </c>
      <c r="C132" s="26" t="str">
        <f>VLOOKUP(B132,Meta.Features!$A:$G,$C$1,FALSE)</f>
        <v>SystemicTherapy</v>
      </c>
      <c r="D132" s="66" t="str">
        <f>VLOOKUP(B132,Meta.Features!$A:$G,$D$1,FALSE)</f>
        <v>RelationToSurgery</v>
      </c>
      <c r="E132" s="66" t="str">
        <f>VLOOKUP(B132,Meta.Features!$A:$K,$E$1,FALSE)</f>
        <v>character</v>
      </c>
      <c r="F132" s="66" t="str">
        <f>VLOOKUP(B132,Meta.Features!$A:$K,$F$1,FALSE)</f>
        <v>Nominal</v>
      </c>
      <c r="G132" s="3" t="s">
        <v>1570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69" t="s">
        <v>1458</v>
      </c>
      <c r="B133" s="28">
        <v>129</v>
      </c>
      <c r="C133" s="26" t="str">
        <f>VLOOKUP(B133,Meta.Features!$A:$G,$C$1,FALSE)</f>
        <v>SystemicTherapy</v>
      </c>
      <c r="D133" s="66" t="str">
        <f>VLOOKUP(B133,Meta.Features!$A:$G,$D$1,FALSE)</f>
        <v>Intention</v>
      </c>
      <c r="E133" s="66" t="str">
        <f>VLOOKUP(B133,Meta.Features!$A:$K,$E$1,FALSE)</f>
        <v>character</v>
      </c>
      <c r="F133" s="66" t="str">
        <f>VLOOKUP(B133,Meta.Features!$A:$K,$F$1,FALSE)</f>
        <v>Nominal</v>
      </c>
      <c r="G133" s="3" t="s">
        <v>1570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69" t="s">
        <v>1458</v>
      </c>
      <c r="B134" s="28">
        <v>130</v>
      </c>
      <c r="C134" s="26" t="str">
        <f>VLOOKUP(B134,Meta.Features!$A:$G,$C$1,FALSE)</f>
        <v>SystemicTherapy</v>
      </c>
      <c r="D134" s="66" t="str">
        <f>VLOOKUP(B134,Meta.Features!$A:$G,$D$1,FALSE)</f>
        <v>Type</v>
      </c>
      <c r="E134" s="66" t="str">
        <f>VLOOKUP(B134,Meta.Features!$A:$K,$E$1,FALSE)</f>
        <v>character</v>
      </c>
      <c r="F134" s="66" t="str">
        <f>VLOOKUP(B134,Meta.Features!$A:$K,$F$1,FALSE)</f>
        <v>Nominal</v>
      </c>
      <c r="G134" s="3" t="s">
        <v>2470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69" t="s">
        <v>1458</v>
      </c>
      <c r="B135" s="28">
        <v>131</v>
      </c>
      <c r="C135" s="26" t="str">
        <f>VLOOKUP(B135,Meta.Features!$A:$G,$C$1,FALSE)</f>
        <v>SystemicTherapy</v>
      </c>
      <c r="D135" s="66" t="str">
        <f>VLOOKUP(B135,Meta.Features!$A:$G,$D$1,FALSE)</f>
        <v>SystemicTherapyStartDate</v>
      </c>
      <c r="E135" s="66" t="str">
        <f>VLOOKUP(B135,Meta.Features!$A:$K,$E$1,FALSE)</f>
        <v>date</v>
      </c>
      <c r="F135" s="66" t="str">
        <f>VLOOKUP(B135,Meta.Features!$A:$K,$F$1,FALSE)</f>
        <v>Interval</v>
      </c>
      <c r="G135" s="3" t="s">
        <v>2470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69" t="s">
        <v>1458</v>
      </c>
      <c r="B136" s="28">
        <v>132</v>
      </c>
      <c r="C136" s="26" t="str">
        <f>VLOOKUP(B136,Meta.Features!$A:$G,$C$1,FALSE)</f>
        <v>SystemicTherapy</v>
      </c>
      <c r="D136" s="66" t="str">
        <f>VLOOKUP(B136,Meta.Features!$A:$G,$D$1,FALSE)</f>
        <v>SystemicTherapyEndDate</v>
      </c>
      <c r="E136" s="66" t="str">
        <f>VLOOKUP(B136,Meta.Features!$A:$K,$E$1,FALSE)</f>
        <v>date</v>
      </c>
      <c r="F136" s="66" t="str">
        <f>VLOOKUP(B136,Meta.Features!$A:$K,$F$1,FALSE)</f>
        <v>Interval</v>
      </c>
      <c r="G136" s="3" t="s">
        <v>1570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69" t="s">
        <v>1458</v>
      </c>
      <c r="B137" s="28">
        <v>133</v>
      </c>
      <c r="C137" s="26" t="str">
        <f>VLOOKUP(B137,Meta.Features!$A:$G,$C$1,FALSE)</f>
        <v>SystemicTherapy</v>
      </c>
      <c r="D137" s="66" t="str">
        <f>VLOOKUP(B137,Meta.Features!$A:$G,$D$1,FALSE)</f>
        <v>Protocol</v>
      </c>
      <c r="E137" s="66" t="str">
        <f>VLOOKUP(B137,Meta.Features!$A:$K,$E$1,FALSE)</f>
        <v>character</v>
      </c>
      <c r="F137" s="66" t="str">
        <f>VLOOKUP(B137,Meta.Features!$A:$K,$F$1,FALSE)</f>
        <v>Nominal</v>
      </c>
      <c r="G137" s="3" t="s">
        <v>1570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69" t="s">
        <v>1458</v>
      </c>
      <c r="B138" s="28">
        <v>134</v>
      </c>
      <c r="C138" s="26" t="str">
        <f>VLOOKUP(B138,Meta.Features!$A:$G,$C$1,FALSE)</f>
        <v>SystemicTherapy</v>
      </c>
      <c r="D138" s="66" t="str">
        <f>VLOOKUP(B138,Meta.Features!$A:$G,$D$1,FALSE)</f>
        <v>Substance</v>
      </c>
      <c r="E138" s="66" t="str">
        <f>VLOOKUP(B138,Meta.Features!$A:$K,$E$1,FALSE)</f>
        <v>character</v>
      </c>
      <c r="F138" s="66" t="str">
        <f>VLOOKUP(B138,Meta.Features!$A:$K,$F$1,FALSE)</f>
        <v>Nominal</v>
      </c>
      <c r="G138" s="3" t="s">
        <v>2470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69" t="s">
        <v>1458</v>
      </c>
      <c r="B139" s="28">
        <v>135</v>
      </c>
      <c r="C139" s="26" t="str">
        <f>VLOOKUP(B139,Meta.Features!$A:$G,$C$1,FALSE)</f>
        <v>SystemicTherapy</v>
      </c>
      <c r="D139" s="66" t="str">
        <f>VLOOKUP(B139,Meta.Features!$A:$G,$D$1,FALSE)</f>
        <v>IsChemotherapy</v>
      </c>
      <c r="E139" s="66" t="str">
        <f>VLOOKUP(B139,Meta.Features!$A:$K,$E$1,FALSE)</f>
        <v>logical</v>
      </c>
      <c r="F139" s="66" t="str">
        <f>VLOOKUP(B139,Meta.Features!$A:$K,$F$1,FALSE)</f>
        <v>Binary</v>
      </c>
      <c r="G139" s="3" t="s">
        <v>1570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69" t="s">
        <v>1458</v>
      </c>
      <c r="B140" s="28">
        <v>136</v>
      </c>
      <c r="C140" s="26" t="str">
        <f>VLOOKUP(B140,Meta.Features!$A:$G,$C$1,FALSE)</f>
        <v>SystemicTherapy</v>
      </c>
      <c r="D140" s="66" t="str">
        <f>VLOOKUP(B140,Meta.Features!$A:$G,$D$1,FALSE)</f>
        <v>IsHormoneTherapy</v>
      </c>
      <c r="E140" s="66" t="str">
        <f>VLOOKUP(B140,Meta.Features!$A:$K,$E$1,FALSE)</f>
        <v>logical</v>
      </c>
      <c r="F140" s="66" t="str">
        <f>VLOOKUP(B140,Meta.Features!$A:$K,$F$1,FALSE)</f>
        <v>Binary</v>
      </c>
      <c r="G140" s="3" t="s">
        <v>1570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69" t="s">
        <v>1458</v>
      </c>
      <c r="B141" s="28">
        <v>137</v>
      </c>
      <c r="C141" s="26" t="str">
        <f>VLOOKUP(B141,Meta.Features!$A:$G,$C$1,FALSE)</f>
        <v>SystemicTherapy</v>
      </c>
      <c r="D141" s="66" t="str">
        <f>VLOOKUP(B141,Meta.Features!$A:$G,$D$1,FALSE)</f>
        <v>IsImmunotherapy</v>
      </c>
      <c r="E141" s="66" t="str">
        <f>VLOOKUP(B141,Meta.Features!$A:$K,$E$1,FALSE)</f>
        <v>logical</v>
      </c>
      <c r="F141" s="66" t="str">
        <f>VLOOKUP(B141,Meta.Features!$A:$K,$F$1,FALSE)</f>
        <v>Binary</v>
      </c>
      <c r="G141" s="3" t="s">
        <v>1570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69" t="s">
        <v>1458</v>
      </c>
      <c r="B142" s="28">
        <v>138</v>
      </c>
      <c r="C142" s="26" t="str">
        <f>VLOOKUP(B142,Meta.Features!$A:$G,$C$1,FALSE)</f>
        <v>SystemicTherapy</v>
      </c>
      <c r="D142" s="66" t="str">
        <f>VLOOKUP(B142,Meta.Features!$A:$G,$D$1,FALSE)</f>
        <v>IsBoneMarrowTransplant</v>
      </c>
      <c r="E142" s="66" t="str">
        <f>VLOOKUP(B142,Meta.Features!$A:$K,$E$1,FALSE)</f>
        <v>logical</v>
      </c>
      <c r="F142" s="66" t="str">
        <f>VLOOKUP(B142,Meta.Features!$A:$K,$F$1,FALSE)</f>
        <v>Binary</v>
      </c>
      <c r="G142" s="3" t="s">
        <v>1570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69" t="s">
        <v>1458</v>
      </c>
      <c r="B143" s="28">
        <v>139</v>
      </c>
      <c r="C143" s="26" t="str">
        <f>VLOOKUP(B143,Meta.Features!$A:$G,$C$1,FALSE)</f>
        <v>SystemicTherapy</v>
      </c>
      <c r="D143" s="66" t="str">
        <f>VLOOKUP(B143,Meta.Features!$A:$G,$D$1,FALSE)</f>
        <v>IsObservantStrategy</v>
      </c>
      <c r="E143" s="66" t="str">
        <f>VLOOKUP(B143,Meta.Features!$A:$K,$E$1,FALSE)</f>
        <v>logical</v>
      </c>
      <c r="F143" s="66" t="str">
        <f>VLOOKUP(B143,Meta.Features!$A:$K,$F$1,FALSE)</f>
        <v>Binary</v>
      </c>
      <c r="G143" s="3" t="s">
        <v>1570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69" t="s">
        <v>1458</v>
      </c>
      <c r="B144" s="28">
        <v>140</v>
      </c>
      <c r="C144" s="26" t="str">
        <f>VLOOKUP(B144,Meta.Features!$A:$G,$C$1,FALSE)</f>
        <v>SystemicTherapy</v>
      </c>
      <c r="D144" s="66" t="str">
        <f>VLOOKUP(B144,Meta.Features!$A:$G,$D$1,FALSE)</f>
        <v>ATC</v>
      </c>
      <c r="E144" s="66" t="str">
        <f>VLOOKUP(B144,Meta.Features!$A:$K,$E$1,FALSE)</f>
        <v>character</v>
      </c>
      <c r="F144" s="66" t="str">
        <f>VLOOKUP(B144,Meta.Features!$A:$K,$F$1,FALSE)</f>
        <v>Nominal</v>
      </c>
      <c r="G144" s="3" t="s">
        <v>1570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69" t="s">
        <v>1458</v>
      </c>
      <c r="B145" s="28">
        <v>141</v>
      </c>
      <c r="C145" s="26" t="str">
        <f>VLOOKUP(B145,Meta.Features!$A:$G,$C$1,FALSE)</f>
        <v>SystemicTherapy</v>
      </c>
      <c r="D145" s="66" t="str">
        <f>VLOOKUP(B145,Meta.Features!$A:$G,$D$1,FALSE)</f>
        <v>ATCVersion</v>
      </c>
      <c r="E145" s="66" t="str">
        <f>VLOOKUP(B145,Meta.Features!$A:$K,$E$1,FALSE)</f>
        <v>character</v>
      </c>
      <c r="F145" s="66" t="str">
        <f>VLOOKUP(B145,Meta.Features!$A:$K,$F$1,FALSE)</f>
        <v>Nominal</v>
      </c>
      <c r="G145" s="3" t="s">
        <v>1570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69" t="s">
        <v>1458</v>
      </c>
      <c r="B146" s="28">
        <v>142</v>
      </c>
      <c r="C146" s="26" t="str">
        <f>VLOOKUP(B146,Meta.Features!$A:$G,$C$1,FALSE)</f>
        <v>SystemicTherapy</v>
      </c>
      <c r="D146" s="66" t="str">
        <f>VLOOKUP(B146,Meta.Features!$A:$G,$D$1,FALSE)</f>
        <v>CTCAEGrade</v>
      </c>
      <c r="E146" s="66" t="str">
        <f>VLOOKUP(B146,Meta.Features!$A:$K,$E$1,FALSE)</f>
        <v>character</v>
      </c>
      <c r="F146" s="66" t="str">
        <f>VLOOKUP(B146,Meta.Features!$A:$K,$F$1,FALSE)</f>
        <v>Nominal</v>
      </c>
      <c r="G146" s="3" t="s">
        <v>1570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69" t="s">
        <v>1458</v>
      </c>
      <c r="B147" s="28">
        <v>143</v>
      </c>
      <c r="C147" s="26" t="str">
        <f>VLOOKUP(B147,Meta.Features!$A:$G,$C$1,FALSE)</f>
        <v>SystemicTherapy</v>
      </c>
      <c r="D147" s="66" t="str">
        <f>VLOOKUP(B147,Meta.Features!$A:$G,$D$1,FALSE)</f>
        <v>CTCAEType</v>
      </c>
      <c r="E147" s="66" t="str">
        <f>VLOOKUP(B147,Meta.Features!$A:$K,$E$1,FALSE)</f>
        <v>character</v>
      </c>
      <c r="F147" s="66" t="str">
        <f>VLOOKUP(B147,Meta.Features!$A:$K,$F$1,FALSE)</f>
        <v>Nominal</v>
      </c>
      <c r="G147" s="3" t="s">
        <v>1570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69" t="s">
        <v>1458</v>
      </c>
      <c r="B148" s="28">
        <v>144</v>
      </c>
      <c r="C148" s="26" t="str">
        <f>VLOOKUP(B148,Meta.Features!$A:$G,$C$1,FALSE)</f>
        <v>SystemicTherapy</v>
      </c>
      <c r="D148" s="66" t="str">
        <f>VLOOKUP(B148,Meta.Features!$A:$G,$D$1,FALSE)</f>
        <v>CTCAEVersion</v>
      </c>
      <c r="E148" s="66" t="str">
        <f>VLOOKUP(B148,Meta.Features!$A:$K,$E$1,FALSE)</f>
        <v>character</v>
      </c>
      <c r="F148" s="66" t="str">
        <f>VLOOKUP(B148,Meta.Features!$A:$K,$F$1,FALSE)</f>
        <v>Nominal</v>
      </c>
      <c r="G148" s="3" t="s">
        <v>1570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69" t="s">
        <v>1458</v>
      </c>
      <c r="B149" s="28">
        <v>145</v>
      </c>
      <c r="C149" s="26" t="str">
        <f>VLOOKUP(B149,Meta.Features!$A:$G,$C$1,FALSE)</f>
        <v>TherapyRecommendation</v>
      </c>
      <c r="D149" s="66" t="str">
        <f>VLOOKUP(B149,Meta.Features!$A:$G,$D$1,FALSE)</f>
        <v>TherapyRecommendationID</v>
      </c>
      <c r="E149" s="66" t="str">
        <f>VLOOKUP(B149,Meta.Features!$A:$K,$E$1,FALSE)</f>
        <v>character</v>
      </c>
      <c r="F149" s="66" t="str">
        <f>VLOOKUP(B149,Meta.Features!$A:$K,$F$1,FALSE)</f>
        <v>Nominal</v>
      </c>
      <c r="G149" s="3" t="s">
        <v>1570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69" t="s">
        <v>1458</v>
      </c>
      <c r="B150" s="28">
        <v>146</v>
      </c>
      <c r="C150" s="26" t="str">
        <f>VLOOKUP(B150,Meta.Features!$A:$G,$C$1,FALSE)</f>
        <v>TherapyRecommendation</v>
      </c>
      <c r="D150" s="66" t="str">
        <f>VLOOKUP(B150,Meta.Features!$A:$G,$D$1,FALSE)</f>
        <v>PatientID</v>
      </c>
      <c r="E150" s="66" t="str">
        <f>VLOOKUP(B150,Meta.Features!$A:$K,$E$1,FALSE)</f>
        <v>character</v>
      </c>
      <c r="F150" s="66" t="str">
        <f>VLOOKUP(B150,Meta.Features!$A:$K,$F$1,FALSE)</f>
        <v>Nominal</v>
      </c>
      <c r="G150" s="3" t="s">
        <v>2470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69" t="s">
        <v>1458</v>
      </c>
      <c r="B151" s="28">
        <v>147</v>
      </c>
      <c r="C151" s="26" t="str">
        <f>VLOOKUP(B151,Meta.Features!$A:$G,$C$1,FALSE)</f>
        <v>TherapyRecommendation</v>
      </c>
      <c r="D151" s="66" t="str">
        <f>VLOOKUP(B151,Meta.Features!$A:$G,$D$1,FALSE)</f>
        <v>TherapyRecommendationDate</v>
      </c>
      <c r="E151" s="66" t="str">
        <f>VLOOKUP(B151,Meta.Features!$A:$K,$E$1,FALSE)</f>
        <v>date</v>
      </c>
      <c r="F151" s="66" t="str">
        <f>VLOOKUP(B151,Meta.Features!$A:$K,$F$1,FALSE)</f>
        <v>Interval</v>
      </c>
      <c r="G151" s="3" t="s">
        <v>2470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69" t="s">
        <v>1458</v>
      </c>
      <c r="B152" s="28">
        <v>148</v>
      </c>
      <c r="C152" s="26" t="str">
        <f>VLOOKUP(B152,Meta.Features!$A:$G,$C$1,FALSE)</f>
        <v>TherapyRecommendation</v>
      </c>
      <c r="D152" s="66" t="str">
        <f>VLOOKUP(B152,Meta.Features!$A:$G,$D$1,FALSE)</f>
        <v>Type</v>
      </c>
      <c r="E152" s="66" t="str">
        <f>VLOOKUP(B152,Meta.Features!$A:$K,$E$1,FALSE)</f>
        <v>character</v>
      </c>
      <c r="F152" s="66" t="str">
        <f>VLOOKUP(B152,Meta.Features!$A:$K,$F$1,FALSE)</f>
        <v>Nominal</v>
      </c>
      <c r="G152" s="3" t="s">
        <v>2470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69" t="s">
        <v>1458</v>
      </c>
      <c r="B153" s="28">
        <v>149</v>
      </c>
      <c r="C153" s="26" t="str">
        <f>VLOOKUP(B153,Meta.Features!$A:$G,$C$1,FALSE)</f>
        <v>TherapyRecommendation</v>
      </c>
      <c r="D153" s="66" t="str">
        <f>VLOOKUP(B153,Meta.Features!$A:$G,$D$1,FALSE)</f>
        <v>Deviation</v>
      </c>
      <c r="E153" s="66" t="str">
        <f>VLOOKUP(B153,Meta.Features!$A:$K,$E$1,FALSE)</f>
        <v>character</v>
      </c>
      <c r="F153" s="66" t="str">
        <f>VLOOKUP(B153,Meta.Features!$A:$K,$F$1,FALSE)</f>
        <v>Nominal</v>
      </c>
      <c r="G153" s="3" t="s">
        <v>1570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G153">
    <cfRule type="cellIs" dxfId="106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E1" sqref="E1"/>
    </sheetView>
  </sheetViews>
  <sheetFormatPr baseColWidth="10" defaultColWidth="16.33203125" defaultRowHeight="25.2" customHeight="1" x14ac:dyDescent="0.3"/>
  <cols>
    <col min="1" max="1" width="16.33203125" style="69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2471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69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69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69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69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69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69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69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69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69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69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69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69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69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69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69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69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69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69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69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69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69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69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69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69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69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69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69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69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69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69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69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69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69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69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69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69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69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69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69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69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69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69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69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69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69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69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69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69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69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69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69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69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69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69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69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69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69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69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69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69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69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69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69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69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69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69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69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69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69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69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69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69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69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69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69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69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69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69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69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69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69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69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69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69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69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69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69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69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69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69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69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69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69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69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69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69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69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69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69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69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69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69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69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69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69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69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69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69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69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69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69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69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69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69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69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69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69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69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69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69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69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69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69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69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69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69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69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69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69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69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69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69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69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69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69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69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69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69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69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69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69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69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69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69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69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69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69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69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69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69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105" priority="5" operator="equal">
      <formula>"FALSE"</formula>
    </cfRule>
    <cfRule type="cellIs" dxfId="104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P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3" customWidth="1"/>
    <col min="13" max="16384" width="16.33203125" style="1"/>
  </cols>
  <sheetData>
    <row r="1" spans="1:16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55"/>
    </row>
    <row r="2" spans="1:1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2228</v>
      </c>
      <c r="H2" s="51" t="s">
        <v>2228</v>
      </c>
      <c r="I2" s="51" t="s">
        <v>2228</v>
      </c>
      <c r="J2" s="51" t="s">
        <v>2228</v>
      </c>
      <c r="K2" s="57" t="s">
        <v>2228</v>
      </c>
      <c r="L2" s="51" t="s">
        <v>1438</v>
      </c>
    </row>
    <row r="3" spans="1:16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2229</v>
      </c>
      <c r="G3" s="59" t="s">
        <v>2234</v>
      </c>
      <c r="H3" s="32" t="s">
        <v>2230</v>
      </c>
      <c r="I3" s="32" t="s">
        <v>2232</v>
      </c>
      <c r="J3" s="32" t="s">
        <v>2231</v>
      </c>
      <c r="K3" s="59" t="s">
        <v>2233</v>
      </c>
      <c r="L3" s="59" t="s">
        <v>2243</v>
      </c>
      <c r="M3" s="34"/>
      <c r="N3" s="34"/>
      <c r="O3" s="34"/>
      <c r="P3" s="34"/>
    </row>
    <row r="4" spans="1:16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3" t="s">
        <v>651</v>
      </c>
      <c r="M4" s="1"/>
      <c r="N4" s="1"/>
      <c r="O4" s="1"/>
      <c r="P4" s="1"/>
    </row>
    <row r="5" spans="1:16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3" t="s">
        <v>651</v>
      </c>
      <c r="M5" s="1"/>
      <c r="N5" s="1"/>
      <c r="O5" s="1"/>
      <c r="P5" s="1"/>
    </row>
    <row r="6" spans="1:16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3" t="s">
        <v>651</v>
      </c>
      <c r="M6" s="1"/>
      <c r="N6" s="1"/>
      <c r="O6" s="1"/>
      <c r="P6" s="1"/>
    </row>
    <row r="7" spans="1:16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3" t="s">
        <v>651</v>
      </c>
      <c r="M7" s="1"/>
      <c r="N7" s="1"/>
      <c r="O7" s="1"/>
      <c r="P7" s="1"/>
    </row>
    <row r="8" spans="1:16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3" t="s">
        <v>651</v>
      </c>
      <c r="M8" s="1"/>
      <c r="N8" s="1"/>
      <c r="O8" s="1"/>
      <c r="P8" s="1"/>
    </row>
    <row r="9" spans="1:16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3" t="s">
        <v>651</v>
      </c>
      <c r="M9" s="1"/>
      <c r="N9" s="1"/>
      <c r="O9" s="1"/>
      <c r="P9" s="1"/>
    </row>
    <row r="10" spans="1:16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3" t="s">
        <v>651</v>
      </c>
      <c r="M10" s="1"/>
      <c r="N10" s="1"/>
      <c r="O10" s="1"/>
      <c r="P10" s="1"/>
    </row>
    <row r="11" spans="1:16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3" t="s">
        <v>651</v>
      </c>
      <c r="M11" s="1"/>
      <c r="N11" s="1"/>
      <c r="O11" s="1"/>
      <c r="P11" s="1"/>
    </row>
    <row r="12" spans="1:16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3" t="s">
        <v>651</v>
      </c>
      <c r="M12" s="1"/>
      <c r="N12" s="1"/>
      <c r="O12" s="1"/>
      <c r="P12" s="1"/>
    </row>
    <row r="13" spans="1:16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3" t="s">
        <v>651</v>
      </c>
      <c r="M13" s="1"/>
      <c r="N13" s="1"/>
      <c r="O13" s="1"/>
      <c r="P13" s="1"/>
    </row>
    <row r="14" spans="1:16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3" t="s">
        <v>651</v>
      </c>
      <c r="M14" s="1"/>
      <c r="N14" s="1"/>
      <c r="O14" s="1"/>
      <c r="P14" s="1"/>
    </row>
    <row r="15" spans="1:16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3" t="s">
        <v>651</v>
      </c>
      <c r="M15" s="1"/>
      <c r="N15" s="1"/>
      <c r="O15" s="1"/>
      <c r="P15" s="1"/>
    </row>
    <row r="16" spans="1:16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3" t="s">
        <v>651</v>
      </c>
      <c r="M16" s="1"/>
      <c r="N16" s="1"/>
      <c r="O16" s="1"/>
      <c r="P16" s="1"/>
    </row>
    <row r="17" spans="1:16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3" t="s">
        <v>651</v>
      </c>
      <c r="M17" s="1"/>
      <c r="N17" s="1"/>
      <c r="O17" s="1"/>
      <c r="P17" s="1"/>
    </row>
    <row r="18" spans="1:16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3" t="s">
        <v>651</v>
      </c>
      <c r="M18" s="1"/>
      <c r="N18" s="1"/>
      <c r="O18" s="1"/>
      <c r="P18" s="1"/>
    </row>
    <row r="19" spans="1:16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3" t="s">
        <v>651</v>
      </c>
      <c r="M19" s="1"/>
      <c r="N19" s="1"/>
      <c r="O19" s="1"/>
      <c r="P19" s="1"/>
    </row>
    <row r="20" spans="1:16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3" t="s">
        <v>651</v>
      </c>
      <c r="M20" s="1"/>
      <c r="N20" s="1"/>
      <c r="O20" s="1"/>
      <c r="P20" s="1"/>
    </row>
    <row r="21" spans="1:16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3" t="s">
        <v>651</v>
      </c>
      <c r="M21" s="1"/>
      <c r="N21" s="1"/>
      <c r="O21" s="1"/>
      <c r="P21" s="1"/>
    </row>
    <row r="22" spans="1:16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3" t="s">
        <v>651</v>
      </c>
      <c r="M22" s="1"/>
      <c r="N22" s="1"/>
      <c r="O22" s="1"/>
      <c r="P22" s="1"/>
    </row>
    <row r="23" spans="1:16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3" t="s">
        <v>651</v>
      </c>
      <c r="M23" s="1"/>
      <c r="N23" s="1"/>
      <c r="O23" s="1"/>
      <c r="P23" s="1"/>
    </row>
    <row r="24" spans="1:16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3" t="s">
        <v>651</v>
      </c>
      <c r="M24" s="1"/>
      <c r="N24" s="1"/>
      <c r="O24" s="1"/>
      <c r="P24" s="1"/>
    </row>
    <row r="25" spans="1:16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3" t="s">
        <v>651</v>
      </c>
      <c r="M25" s="1"/>
      <c r="N25" s="1"/>
      <c r="O25" s="1"/>
      <c r="P25" s="1"/>
    </row>
    <row r="26" spans="1:16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3" t="s">
        <v>651</v>
      </c>
      <c r="M26" s="1"/>
      <c r="N26" s="1"/>
      <c r="O26" s="1"/>
      <c r="P26" s="1"/>
    </row>
    <row r="27" spans="1:16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3" t="s">
        <v>651</v>
      </c>
      <c r="M27" s="1"/>
      <c r="N27" s="1"/>
      <c r="O27" s="1"/>
      <c r="P27" s="1"/>
    </row>
    <row r="28" spans="1:16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3" t="s">
        <v>651</v>
      </c>
      <c r="M28" s="1"/>
      <c r="N28" s="1"/>
      <c r="O28" s="1"/>
      <c r="P28" s="1"/>
    </row>
    <row r="29" spans="1:16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3" t="s">
        <v>651</v>
      </c>
      <c r="M29" s="1"/>
      <c r="N29" s="1"/>
      <c r="O29" s="1"/>
      <c r="P29" s="1"/>
    </row>
    <row r="30" spans="1:16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3" t="s">
        <v>651</v>
      </c>
      <c r="M30" s="1"/>
      <c r="N30" s="1"/>
      <c r="O30" s="1"/>
      <c r="P30" s="1"/>
    </row>
    <row r="31" spans="1:16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3" t="s">
        <v>651</v>
      </c>
      <c r="M31" s="1"/>
      <c r="N31" s="1"/>
      <c r="O31" s="1"/>
      <c r="P31" s="1"/>
    </row>
    <row r="32" spans="1:16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3" t="s">
        <v>651</v>
      </c>
      <c r="M32" s="1"/>
      <c r="N32" s="1"/>
      <c r="O32" s="1"/>
      <c r="P32" s="1"/>
    </row>
    <row r="33" spans="1:16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3" t="s">
        <v>651</v>
      </c>
      <c r="M33" s="1"/>
      <c r="N33" s="1"/>
      <c r="O33" s="1"/>
      <c r="P33" s="1"/>
    </row>
    <row r="34" spans="1:16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3" t="s">
        <v>651</v>
      </c>
      <c r="M34" s="1"/>
      <c r="N34" s="1"/>
      <c r="O34" s="1"/>
      <c r="P34" s="1"/>
    </row>
    <row r="35" spans="1:16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3" t="s">
        <v>651</v>
      </c>
      <c r="M35" s="1"/>
      <c r="N35" s="1"/>
      <c r="O35" s="1"/>
      <c r="P35" s="1"/>
    </row>
    <row r="36" spans="1:16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3" t="s">
        <v>651</v>
      </c>
      <c r="M36" s="1"/>
      <c r="N36" s="1"/>
      <c r="O36" s="1"/>
      <c r="P36" s="1"/>
    </row>
    <row r="37" spans="1:16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3" t="s">
        <v>651</v>
      </c>
      <c r="M37" s="1"/>
      <c r="N37" s="1"/>
      <c r="O37" s="1"/>
      <c r="P37" s="1"/>
    </row>
    <row r="38" spans="1:16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3" t="s">
        <v>651</v>
      </c>
      <c r="M38" s="1"/>
      <c r="N38" s="1"/>
      <c r="O38" s="1"/>
      <c r="P38" s="1"/>
    </row>
    <row r="39" spans="1:16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3" t="s">
        <v>651</v>
      </c>
      <c r="M39" s="1"/>
      <c r="N39" s="1"/>
      <c r="O39" s="1"/>
      <c r="P39" s="1"/>
    </row>
    <row r="40" spans="1:16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3" t="s">
        <v>651</v>
      </c>
      <c r="M40" s="1"/>
      <c r="N40" s="1"/>
      <c r="O40" s="1"/>
      <c r="P40" s="1"/>
    </row>
    <row r="41" spans="1:16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3" t="s">
        <v>651</v>
      </c>
      <c r="M41" s="1"/>
      <c r="N41" s="1"/>
      <c r="O41" s="1"/>
      <c r="P41" s="1"/>
    </row>
    <row r="42" spans="1:16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3" t="s">
        <v>651</v>
      </c>
      <c r="M42" s="1"/>
      <c r="N42" s="1"/>
      <c r="O42" s="1"/>
      <c r="P42" s="1"/>
    </row>
    <row r="43" spans="1:16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3" t="s">
        <v>651</v>
      </c>
      <c r="M43" s="1"/>
      <c r="N43" s="1"/>
      <c r="O43" s="1"/>
      <c r="P43" s="1"/>
    </row>
    <row r="44" spans="1:16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3" t="s">
        <v>651</v>
      </c>
      <c r="M44" s="1"/>
      <c r="N44" s="1"/>
      <c r="O44" s="1"/>
      <c r="P44" s="1"/>
    </row>
    <row r="45" spans="1:16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3" t="s">
        <v>651</v>
      </c>
      <c r="M45" s="1"/>
      <c r="N45" s="1"/>
      <c r="O45" s="1"/>
      <c r="P45" s="1"/>
    </row>
    <row r="46" spans="1:16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3" t="s">
        <v>651</v>
      </c>
      <c r="M46" s="1"/>
      <c r="N46" s="1"/>
      <c r="O46" s="1"/>
      <c r="P46" s="1"/>
    </row>
    <row r="47" spans="1:16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3" t="s">
        <v>651</v>
      </c>
      <c r="M47" s="1"/>
      <c r="N47" s="1"/>
      <c r="O47" s="1"/>
      <c r="P47" s="1"/>
    </row>
    <row r="48" spans="1:16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3" t="s">
        <v>651</v>
      </c>
      <c r="M48" s="1"/>
      <c r="N48" s="1"/>
      <c r="O48" s="1"/>
      <c r="P48" s="1"/>
    </row>
    <row r="49" spans="1:16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3" t="s">
        <v>651</v>
      </c>
      <c r="M49" s="1"/>
      <c r="N49" s="1"/>
      <c r="O49" s="1"/>
      <c r="P49" s="1"/>
    </row>
    <row r="50" spans="1:16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3" t="s">
        <v>651</v>
      </c>
      <c r="M50" s="1"/>
      <c r="N50" s="1"/>
      <c r="O50" s="1"/>
      <c r="P50" s="1"/>
    </row>
    <row r="51" spans="1:16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3" t="s">
        <v>651</v>
      </c>
      <c r="M51" s="1"/>
      <c r="N51" s="1"/>
      <c r="O51" s="1"/>
      <c r="P51" s="1"/>
    </row>
    <row r="52" spans="1:16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3" t="s">
        <v>651</v>
      </c>
      <c r="M52" s="1"/>
      <c r="N52" s="1"/>
      <c r="O52" s="1"/>
      <c r="P52" s="1"/>
    </row>
    <row r="53" spans="1:16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3" t="s">
        <v>651</v>
      </c>
      <c r="M53" s="1"/>
      <c r="N53" s="1"/>
      <c r="O53" s="1"/>
      <c r="P53" s="1"/>
    </row>
    <row r="54" spans="1:16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3" t="s">
        <v>651</v>
      </c>
      <c r="M54" s="1"/>
      <c r="N54" s="1"/>
      <c r="O54" s="1"/>
      <c r="P54" s="1"/>
    </row>
    <row r="55" spans="1:16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3" t="s">
        <v>651</v>
      </c>
      <c r="M55" s="1"/>
      <c r="N55" s="1"/>
      <c r="O55" s="1"/>
      <c r="P55" s="1"/>
    </row>
    <row r="56" spans="1:16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3" t="s">
        <v>651</v>
      </c>
      <c r="M56" s="1"/>
      <c r="N56" s="1"/>
      <c r="O56" s="1"/>
      <c r="P56" s="1"/>
    </row>
    <row r="57" spans="1:16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3" t="s">
        <v>651</v>
      </c>
      <c r="M57" s="1"/>
      <c r="N57" s="1"/>
      <c r="O57" s="1"/>
      <c r="P57" s="1"/>
    </row>
    <row r="58" spans="1:16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3" t="s">
        <v>651</v>
      </c>
      <c r="M58" s="1"/>
      <c r="N58" s="1"/>
      <c r="O58" s="1"/>
      <c r="P58" s="1"/>
    </row>
    <row r="59" spans="1:16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3" t="s">
        <v>651</v>
      </c>
      <c r="M59" s="1"/>
      <c r="N59" s="1"/>
      <c r="O59" s="1"/>
      <c r="P59" s="1"/>
    </row>
    <row r="60" spans="1:16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3" t="s">
        <v>651</v>
      </c>
      <c r="M60" s="1"/>
      <c r="N60" s="1"/>
      <c r="O60" s="1"/>
      <c r="P60" s="1"/>
    </row>
    <row r="61" spans="1:16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3" t="s">
        <v>651</v>
      </c>
      <c r="M61" s="1"/>
      <c r="N61" s="1"/>
      <c r="O61" s="1"/>
      <c r="P61" s="1"/>
    </row>
    <row r="62" spans="1:16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3" t="s">
        <v>651</v>
      </c>
      <c r="M62" s="1"/>
      <c r="N62" s="1"/>
      <c r="O62" s="1"/>
      <c r="P62" s="1"/>
    </row>
    <row r="63" spans="1:16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3" t="s">
        <v>651</v>
      </c>
      <c r="M63" s="1"/>
      <c r="N63" s="1"/>
      <c r="O63" s="1"/>
      <c r="P63" s="1"/>
    </row>
    <row r="64" spans="1:16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3" t="s">
        <v>651</v>
      </c>
      <c r="M64" s="1"/>
      <c r="N64" s="1"/>
      <c r="O64" s="1"/>
      <c r="P64" s="1"/>
    </row>
    <row r="65" spans="1:16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3" t="s">
        <v>651</v>
      </c>
      <c r="M65" s="1"/>
      <c r="N65" s="1"/>
      <c r="O65" s="1"/>
      <c r="P65" s="1"/>
    </row>
    <row r="66" spans="1:16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3" t="s">
        <v>651</v>
      </c>
      <c r="M66" s="1"/>
      <c r="N66" s="1"/>
      <c r="O66" s="1"/>
      <c r="P66" s="1"/>
    </row>
    <row r="67" spans="1:16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3" t="s">
        <v>651</v>
      </c>
      <c r="M67" s="1"/>
      <c r="N67" s="1"/>
      <c r="O67" s="1"/>
      <c r="P67" s="1"/>
    </row>
    <row r="68" spans="1:16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3" t="s">
        <v>651</v>
      </c>
      <c r="M68" s="1"/>
      <c r="N68" s="1"/>
      <c r="O68" s="1"/>
      <c r="P68" s="1"/>
    </row>
    <row r="69" spans="1:16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3" t="s">
        <v>651</v>
      </c>
      <c r="M69" s="1"/>
      <c r="N69" s="1"/>
      <c r="O69" s="1"/>
      <c r="P69" s="1"/>
    </row>
    <row r="70" spans="1:16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3" t="s">
        <v>651</v>
      </c>
      <c r="M70" s="1"/>
      <c r="N70" s="1"/>
      <c r="O70" s="1"/>
      <c r="P70" s="1"/>
    </row>
    <row r="71" spans="1:16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3" t="s">
        <v>651</v>
      </c>
      <c r="M71" s="1"/>
      <c r="N71" s="1"/>
      <c r="O71" s="1"/>
      <c r="P71" s="1"/>
    </row>
    <row r="72" spans="1:16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3" t="s">
        <v>651</v>
      </c>
      <c r="M72" s="1"/>
      <c r="N72" s="1"/>
      <c r="O72" s="1"/>
      <c r="P72" s="1"/>
    </row>
    <row r="73" spans="1:16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3" t="s">
        <v>651</v>
      </c>
      <c r="M73" s="1"/>
      <c r="N73" s="1"/>
      <c r="O73" s="1"/>
      <c r="P73" s="1"/>
    </row>
    <row r="74" spans="1:16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3" t="s">
        <v>651</v>
      </c>
      <c r="M74" s="1"/>
      <c r="N74" s="1"/>
      <c r="O74" s="1"/>
      <c r="P74" s="1"/>
    </row>
    <row r="75" spans="1:16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3" t="s">
        <v>651</v>
      </c>
      <c r="M75" s="1"/>
      <c r="N75" s="1"/>
      <c r="O75" s="1"/>
      <c r="P75" s="1"/>
    </row>
    <row r="76" spans="1:16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3" t="s">
        <v>651</v>
      </c>
      <c r="M76" s="1"/>
      <c r="N76" s="1"/>
      <c r="O76" s="1"/>
      <c r="P76" s="1"/>
    </row>
    <row r="77" spans="1:16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3" t="s">
        <v>651</v>
      </c>
      <c r="M77" s="1"/>
      <c r="N77" s="1"/>
      <c r="O77" s="1"/>
      <c r="P77" s="1"/>
    </row>
    <row r="78" spans="1:16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3" t="s">
        <v>651</v>
      </c>
      <c r="M78" s="1"/>
      <c r="N78" s="1"/>
      <c r="O78" s="1"/>
      <c r="P78" s="1"/>
    </row>
    <row r="79" spans="1:16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3" t="s">
        <v>651</v>
      </c>
      <c r="M79" s="1"/>
      <c r="N79" s="1"/>
      <c r="O79" s="1"/>
      <c r="P79" s="1"/>
    </row>
    <row r="80" spans="1:16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3" t="s">
        <v>651</v>
      </c>
      <c r="M80" s="1"/>
      <c r="N80" s="1"/>
      <c r="O80" s="1"/>
      <c r="P80" s="1"/>
    </row>
    <row r="81" spans="1:16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3" t="s">
        <v>651</v>
      </c>
      <c r="M81" s="1"/>
      <c r="N81" s="1"/>
      <c r="O81" s="1"/>
      <c r="P81" s="1"/>
    </row>
    <row r="82" spans="1:16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3" t="s">
        <v>651</v>
      </c>
      <c r="M82" s="1"/>
      <c r="N82" s="1"/>
      <c r="O82" s="1"/>
      <c r="P82" s="1"/>
    </row>
    <row r="83" spans="1:16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3" t="s">
        <v>651</v>
      </c>
      <c r="M83" s="1"/>
      <c r="N83" s="1"/>
      <c r="O83" s="1"/>
      <c r="P83" s="1"/>
    </row>
    <row r="84" spans="1:16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3" t="s">
        <v>651</v>
      </c>
      <c r="M84" s="1"/>
      <c r="N84" s="1"/>
      <c r="O84" s="1"/>
      <c r="P84" s="1"/>
    </row>
    <row r="85" spans="1:16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3" t="s">
        <v>651</v>
      </c>
      <c r="M85" s="1"/>
      <c r="N85" s="1"/>
      <c r="O85" s="1"/>
      <c r="P85" s="1"/>
    </row>
    <row r="86" spans="1:16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3" t="s">
        <v>651</v>
      </c>
      <c r="M86" s="1"/>
      <c r="N86" s="1"/>
      <c r="O86" s="1"/>
      <c r="P86" s="1"/>
    </row>
    <row r="87" spans="1:16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3" t="s">
        <v>651</v>
      </c>
      <c r="M87" s="1"/>
      <c r="N87" s="1"/>
      <c r="O87" s="1"/>
      <c r="P87" s="1"/>
    </row>
    <row r="88" spans="1:16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3" t="s">
        <v>651</v>
      </c>
      <c r="M88" s="1"/>
      <c r="N88" s="1"/>
      <c r="O88" s="1"/>
      <c r="P88" s="1"/>
    </row>
    <row r="89" spans="1:16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3" t="s">
        <v>651</v>
      </c>
      <c r="M89" s="1"/>
      <c r="N89" s="1"/>
      <c r="O89" s="1"/>
      <c r="P89" s="1"/>
    </row>
    <row r="90" spans="1:16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3" t="s">
        <v>651</v>
      </c>
      <c r="M90" s="1"/>
      <c r="N90" s="1"/>
      <c r="O90" s="1"/>
      <c r="P90" s="1"/>
    </row>
    <row r="91" spans="1:16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3" t="s">
        <v>651</v>
      </c>
      <c r="M91" s="1"/>
      <c r="N91" s="1"/>
      <c r="O91" s="1"/>
      <c r="P91" s="1"/>
    </row>
    <row r="92" spans="1:16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3" t="s">
        <v>651</v>
      </c>
      <c r="M92" s="1"/>
      <c r="N92" s="1"/>
      <c r="O92" s="1"/>
      <c r="P92" s="1"/>
    </row>
    <row r="93" spans="1:16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3" t="s">
        <v>651</v>
      </c>
      <c r="M93" s="1"/>
      <c r="N93" s="1"/>
      <c r="O93" s="1"/>
      <c r="P93" s="1"/>
    </row>
    <row r="94" spans="1:16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3" t="s">
        <v>651</v>
      </c>
      <c r="M94" s="1"/>
      <c r="N94" s="1"/>
      <c r="O94" s="1"/>
      <c r="P94" s="1"/>
    </row>
    <row r="95" spans="1:16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3" t="s">
        <v>651</v>
      </c>
      <c r="M95" s="1"/>
      <c r="N95" s="1"/>
      <c r="O95" s="1"/>
      <c r="P95" s="1"/>
    </row>
    <row r="96" spans="1:16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3" t="s">
        <v>651</v>
      </c>
      <c r="M96" s="1"/>
      <c r="N96" s="1"/>
      <c r="O96" s="1"/>
      <c r="P96" s="1"/>
    </row>
    <row r="97" spans="1:16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3" t="s">
        <v>651</v>
      </c>
      <c r="M97" s="1"/>
      <c r="N97" s="1"/>
      <c r="O97" s="1"/>
      <c r="P97" s="1"/>
    </row>
    <row r="98" spans="1:16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3" t="s">
        <v>651</v>
      </c>
      <c r="M98" s="1"/>
      <c r="N98" s="1"/>
      <c r="O98" s="1"/>
      <c r="P98" s="1"/>
    </row>
    <row r="99" spans="1:16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3" t="s">
        <v>651</v>
      </c>
      <c r="M99" s="1"/>
      <c r="N99" s="1"/>
      <c r="O99" s="1"/>
      <c r="P99" s="1"/>
    </row>
    <row r="100" spans="1:16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3" t="s">
        <v>651</v>
      </c>
      <c r="M100" s="1"/>
      <c r="N100" s="1"/>
      <c r="O100" s="1"/>
      <c r="P100" s="1"/>
    </row>
    <row r="101" spans="1:16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3" t="s">
        <v>651</v>
      </c>
      <c r="M101" s="1"/>
      <c r="N101" s="1"/>
      <c r="O101" s="1"/>
      <c r="P101" s="1"/>
    </row>
    <row r="102" spans="1:16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3" t="s">
        <v>651</v>
      </c>
      <c r="M102" s="1"/>
      <c r="N102" s="1"/>
      <c r="O102" s="1"/>
      <c r="P102" s="1"/>
    </row>
    <row r="103" spans="1:16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3" t="s">
        <v>651</v>
      </c>
      <c r="M103" s="1"/>
      <c r="N103" s="1"/>
      <c r="O103" s="1"/>
      <c r="P103" s="1"/>
    </row>
    <row r="104" spans="1:16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3" t="s">
        <v>651</v>
      </c>
      <c r="M104" s="1"/>
      <c r="N104" s="1"/>
      <c r="O104" s="1"/>
      <c r="P104" s="1"/>
    </row>
    <row r="105" spans="1:16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3" t="s">
        <v>651</v>
      </c>
      <c r="M105" s="1"/>
      <c r="N105" s="1"/>
      <c r="O105" s="1"/>
      <c r="P105" s="1"/>
    </row>
    <row r="106" spans="1:16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3" t="s">
        <v>651</v>
      </c>
      <c r="M106" s="1"/>
      <c r="N106" s="1"/>
      <c r="O106" s="1"/>
      <c r="P106" s="1"/>
    </row>
    <row r="107" spans="1:16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3" t="s">
        <v>651</v>
      </c>
      <c r="M107" s="1"/>
      <c r="N107" s="1"/>
      <c r="O107" s="1"/>
      <c r="P107" s="1"/>
    </row>
    <row r="108" spans="1:16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3" t="s">
        <v>651</v>
      </c>
      <c r="M108" s="1"/>
      <c r="N108" s="1"/>
      <c r="O108" s="1"/>
      <c r="P108" s="1"/>
    </row>
    <row r="109" spans="1:16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3" t="s">
        <v>651</v>
      </c>
      <c r="M109" s="1"/>
      <c r="N109" s="1"/>
      <c r="O109" s="1"/>
      <c r="P109" s="1"/>
    </row>
    <row r="110" spans="1:16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3" t="s">
        <v>651</v>
      </c>
      <c r="M110" s="1"/>
      <c r="N110" s="1"/>
      <c r="O110" s="1"/>
      <c r="P110" s="1"/>
    </row>
    <row r="111" spans="1:16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3" t="s">
        <v>651</v>
      </c>
      <c r="M111" s="1"/>
      <c r="N111" s="1"/>
      <c r="O111" s="1"/>
      <c r="P111" s="1"/>
    </row>
    <row r="112" spans="1:16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3" t="s">
        <v>651</v>
      </c>
      <c r="M112" s="1"/>
      <c r="N112" s="1"/>
      <c r="O112" s="1"/>
      <c r="P112" s="1"/>
    </row>
    <row r="113" spans="1:16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3" t="s">
        <v>651</v>
      </c>
      <c r="M113" s="1"/>
      <c r="N113" s="1"/>
      <c r="O113" s="1"/>
      <c r="P113" s="1"/>
    </row>
    <row r="114" spans="1:16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3" t="s">
        <v>651</v>
      </c>
      <c r="M114" s="1"/>
      <c r="N114" s="1"/>
      <c r="O114" s="1"/>
      <c r="P114" s="1"/>
    </row>
    <row r="115" spans="1:16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3" t="s">
        <v>651</v>
      </c>
      <c r="M115" s="1"/>
      <c r="N115" s="1"/>
      <c r="O115" s="1"/>
      <c r="P115" s="1"/>
    </row>
    <row r="116" spans="1:16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3" t="s">
        <v>651</v>
      </c>
      <c r="M116" s="1"/>
      <c r="N116" s="1"/>
      <c r="O116" s="1"/>
      <c r="P116" s="1"/>
    </row>
    <row r="117" spans="1:16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3" t="s">
        <v>651</v>
      </c>
      <c r="M117" s="1"/>
      <c r="N117" s="1"/>
      <c r="O117" s="1"/>
      <c r="P117" s="1"/>
    </row>
    <row r="118" spans="1:16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3" t="s">
        <v>651</v>
      </c>
      <c r="M118" s="1"/>
      <c r="N118" s="1"/>
      <c r="O118" s="1"/>
      <c r="P118" s="1"/>
    </row>
    <row r="119" spans="1:16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3" t="s">
        <v>651</v>
      </c>
      <c r="M119" s="1"/>
      <c r="N119" s="1"/>
      <c r="O119" s="1"/>
      <c r="P119" s="1"/>
    </row>
    <row r="120" spans="1:16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3" t="s">
        <v>651</v>
      </c>
      <c r="M120" s="1"/>
      <c r="N120" s="1"/>
      <c r="O120" s="1"/>
      <c r="P120" s="1"/>
    </row>
    <row r="121" spans="1:16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3" t="s">
        <v>651</v>
      </c>
      <c r="M121" s="1"/>
      <c r="N121" s="1"/>
      <c r="O121" s="1"/>
      <c r="P121" s="1"/>
    </row>
    <row r="122" spans="1:16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3" t="s">
        <v>651</v>
      </c>
      <c r="M122" s="1"/>
      <c r="N122" s="1"/>
      <c r="O122" s="1"/>
      <c r="P122" s="1"/>
    </row>
    <row r="123" spans="1:16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3" t="s">
        <v>651</v>
      </c>
      <c r="M123" s="1"/>
      <c r="N123" s="1"/>
      <c r="O123" s="1"/>
      <c r="P123" s="1"/>
    </row>
    <row r="124" spans="1:16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3" t="s">
        <v>651</v>
      </c>
      <c r="M124" s="1"/>
      <c r="N124" s="1"/>
      <c r="O124" s="1"/>
      <c r="P124" s="1"/>
    </row>
    <row r="125" spans="1:16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3" t="s">
        <v>651</v>
      </c>
      <c r="M125" s="1"/>
      <c r="N125" s="1"/>
      <c r="O125" s="1"/>
      <c r="P125" s="1"/>
    </row>
    <row r="126" spans="1:16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3" t="s">
        <v>651</v>
      </c>
      <c r="M126" s="1"/>
      <c r="N126" s="1"/>
      <c r="O126" s="1"/>
      <c r="P126" s="1"/>
    </row>
    <row r="127" spans="1:16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3" t="s">
        <v>651</v>
      </c>
      <c r="M127" s="1"/>
      <c r="N127" s="1"/>
      <c r="O127" s="1"/>
      <c r="P127" s="1"/>
    </row>
    <row r="128" spans="1:16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3" t="s">
        <v>651</v>
      </c>
      <c r="M128" s="1"/>
      <c r="N128" s="1"/>
      <c r="O128" s="1"/>
      <c r="P128" s="1"/>
    </row>
    <row r="129" spans="1:16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3" t="s">
        <v>651</v>
      </c>
      <c r="M129" s="1"/>
      <c r="N129" s="1"/>
      <c r="O129" s="1"/>
      <c r="P129" s="1"/>
    </row>
    <row r="130" spans="1:16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3" t="s">
        <v>651</v>
      </c>
      <c r="M130" s="1"/>
      <c r="N130" s="1"/>
      <c r="O130" s="1"/>
      <c r="P130" s="1"/>
    </row>
    <row r="131" spans="1:16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3" t="s">
        <v>651</v>
      </c>
      <c r="M131" s="1"/>
      <c r="N131" s="1"/>
      <c r="O131" s="1"/>
      <c r="P131" s="1"/>
    </row>
    <row r="132" spans="1:16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3" t="s">
        <v>651</v>
      </c>
      <c r="M132" s="1"/>
      <c r="N132" s="1"/>
      <c r="O132" s="1"/>
      <c r="P132" s="1"/>
    </row>
    <row r="133" spans="1:16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3" t="s">
        <v>651</v>
      </c>
      <c r="M133" s="1"/>
      <c r="N133" s="1"/>
      <c r="O133" s="1"/>
      <c r="P133" s="1"/>
    </row>
    <row r="134" spans="1:16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3" t="s">
        <v>651</v>
      </c>
      <c r="M134" s="1"/>
      <c r="N134" s="1"/>
      <c r="O134" s="1"/>
      <c r="P134" s="1"/>
    </row>
    <row r="135" spans="1:16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3" t="s">
        <v>651</v>
      </c>
      <c r="M135" s="1"/>
      <c r="N135" s="1"/>
      <c r="O135" s="1"/>
      <c r="P135" s="1"/>
    </row>
    <row r="136" spans="1:16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3" t="s">
        <v>651</v>
      </c>
      <c r="M136" s="1"/>
      <c r="N136" s="1"/>
      <c r="O136" s="1"/>
      <c r="P136" s="1"/>
    </row>
    <row r="137" spans="1:16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3" t="s">
        <v>651</v>
      </c>
      <c r="M137" s="1"/>
      <c r="N137" s="1"/>
      <c r="O137" s="1"/>
      <c r="P137" s="1"/>
    </row>
    <row r="138" spans="1:16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3" t="s">
        <v>651</v>
      </c>
      <c r="M138" s="1"/>
      <c r="N138" s="1"/>
      <c r="O138" s="1"/>
      <c r="P138" s="1"/>
    </row>
    <row r="139" spans="1:16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3" t="s">
        <v>651</v>
      </c>
      <c r="M139" s="1"/>
      <c r="N139" s="1"/>
      <c r="O139" s="1"/>
      <c r="P139" s="1"/>
    </row>
    <row r="140" spans="1:16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3" t="s">
        <v>651</v>
      </c>
      <c r="M140" s="1"/>
      <c r="N140" s="1"/>
      <c r="O140" s="1"/>
      <c r="P140" s="1"/>
    </row>
    <row r="141" spans="1:16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3" t="s">
        <v>651</v>
      </c>
      <c r="M141" s="1"/>
      <c r="N141" s="1"/>
      <c r="O141" s="1"/>
      <c r="P141" s="1"/>
    </row>
    <row r="142" spans="1:16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3" t="s">
        <v>651</v>
      </c>
      <c r="M142" s="1"/>
      <c r="N142" s="1"/>
      <c r="O142" s="1"/>
      <c r="P142" s="1"/>
    </row>
    <row r="143" spans="1:16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3" t="s">
        <v>651</v>
      </c>
      <c r="M143" s="1"/>
      <c r="N143" s="1"/>
      <c r="O143" s="1"/>
      <c r="P143" s="1"/>
    </row>
    <row r="144" spans="1:16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3" t="s">
        <v>651</v>
      </c>
      <c r="M144" s="1"/>
      <c r="N144" s="1"/>
      <c r="O144" s="1"/>
      <c r="P144" s="1"/>
    </row>
    <row r="145" spans="1:16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3" t="s">
        <v>651</v>
      </c>
      <c r="M145" s="1"/>
      <c r="N145" s="1"/>
      <c r="O145" s="1"/>
      <c r="P145" s="1"/>
    </row>
    <row r="146" spans="1:16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3" t="s">
        <v>651</v>
      </c>
      <c r="M146" s="1"/>
      <c r="N146" s="1"/>
      <c r="O146" s="1"/>
      <c r="P146" s="1"/>
    </row>
    <row r="147" spans="1:16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3" t="s">
        <v>651</v>
      </c>
      <c r="M147" s="1"/>
      <c r="N147" s="1"/>
      <c r="O147" s="1"/>
      <c r="P147" s="1"/>
    </row>
    <row r="148" spans="1:16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3" t="s">
        <v>651</v>
      </c>
      <c r="M148" s="1"/>
      <c r="N148" s="1"/>
      <c r="O148" s="1"/>
      <c r="P148" s="1"/>
    </row>
    <row r="149" spans="1:16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3" t="s">
        <v>651</v>
      </c>
      <c r="M149" s="1"/>
      <c r="N149" s="1"/>
      <c r="O149" s="1"/>
      <c r="P149" s="1"/>
    </row>
    <row r="150" spans="1:16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3" t="s">
        <v>651</v>
      </c>
      <c r="M150" s="1"/>
      <c r="N150" s="1"/>
      <c r="O150" s="1"/>
      <c r="P150" s="1"/>
    </row>
    <row r="151" spans="1:16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3" t="s">
        <v>651</v>
      </c>
      <c r="M151" s="1"/>
      <c r="N151" s="1"/>
      <c r="O151" s="1"/>
      <c r="P151" s="1"/>
    </row>
    <row r="152" spans="1:16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3" t="s">
        <v>651</v>
      </c>
      <c r="M152" s="1"/>
      <c r="N152" s="1"/>
      <c r="O152" s="1"/>
      <c r="P152" s="1"/>
    </row>
    <row r="153" spans="1:16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3" t="s">
        <v>651</v>
      </c>
      <c r="M153" s="1"/>
      <c r="N153" s="1"/>
      <c r="O153" s="1"/>
      <c r="P153" s="1"/>
    </row>
  </sheetData>
  <conditionalFormatting sqref="E4:G153">
    <cfRule type="cellIs" dxfId="103" priority="1" operator="equal">
      <formula>"FALSE"</formula>
    </cfRule>
    <cfRule type="cellIs" dxfId="102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4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2228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2145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2235</v>
      </c>
      <c r="G14" s="17" t="s">
        <v>2236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2184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2239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2144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2144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2237</v>
      </c>
      <c r="G23" s="17" t="s">
        <v>2238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2144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2213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2214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5"/>
  <sheetViews>
    <sheetView zoomScale="99" workbookViewId="0">
      <pane xSplit="4" ySplit="3" topLeftCell="E4" activePane="bottomRight" state="frozen"/>
      <selection pane="topRight" activeCell="G1" sqref="G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2246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2247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VLOOKUP(B40,Meta.Features!$A:$G,$C$1,FALSE)</f>
        <v>SystemicTherapy</v>
      </c>
      <c r="D40" s="44" t="str">
        <f>VLOOKUP(B40,Meta.Features!$A:$G,$D$1,FALSE)</f>
        <v>Substance</v>
      </c>
      <c r="E40" s="3" t="s">
        <v>2157</v>
      </c>
      <c r="F40" s="3" t="s">
        <v>1657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2158</v>
      </c>
      <c r="F41" s="3" t="s">
        <v>1657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2159</v>
      </c>
      <c r="F42" s="3" t="s">
        <v>1656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2160</v>
      </c>
      <c r="F43" s="3" t="s">
        <v>1618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2161</v>
      </c>
      <c r="F44" s="3" t="s">
        <v>1645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2162</v>
      </c>
      <c r="F45" s="3" t="s">
        <v>1660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2163</v>
      </c>
      <c r="F46" s="3" t="s">
        <v>1694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2164</v>
      </c>
      <c r="F47" s="3" t="s">
        <v>1855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2165</v>
      </c>
      <c r="F48" s="3" t="s">
        <v>1680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2166</v>
      </c>
      <c r="F49" s="3" t="s">
        <v>1810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2167</v>
      </c>
      <c r="F50" s="3" t="s">
        <v>1793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2170</v>
      </c>
      <c r="F51" s="3" t="s">
        <v>1854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2171</v>
      </c>
      <c r="F52" s="3" t="s">
        <v>1827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2172</v>
      </c>
      <c r="F53" s="3" t="s">
        <v>1633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2173</v>
      </c>
      <c r="F54" s="3" t="s">
        <v>1623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2174</v>
      </c>
      <c r="F55" s="3" t="s">
        <v>1634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2175</v>
      </c>
      <c r="F56" s="3" t="s">
        <v>1821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2176</v>
      </c>
      <c r="F57" s="3" t="s">
        <v>1646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2177</v>
      </c>
      <c r="F58" s="3" t="s">
        <v>1900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2178</v>
      </c>
      <c r="F59" s="3" t="s">
        <v>1694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2179</v>
      </c>
      <c r="F60" s="3" t="s">
        <v>1694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2180</v>
      </c>
      <c r="F61" s="3" t="s">
        <v>1932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2181</v>
      </c>
      <c r="F62" s="3" t="s">
        <v>1953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2182</v>
      </c>
      <c r="F63" s="3" t="s">
        <v>1644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2183</v>
      </c>
      <c r="F64" s="3" t="s">
        <v>1662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5" t="s">
        <v>2256</v>
      </c>
      <c r="F65" s="5" t="s">
        <v>1694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2258</v>
      </c>
      <c r="F66" s="5" t="s">
        <v>2257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2259</v>
      </c>
      <c r="F67" s="5" t="s">
        <v>1827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2263</v>
      </c>
      <c r="F68" s="5" t="s">
        <v>1627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2264</v>
      </c>
      <c r="F69" s="5" t="s">
        <v>1627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2265</v>
      </c>
      <c r="F70" s="5" t="s">
        <v>1686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2266</v>
      </c>
      <c r="F71" s="5" t="s">
        <v>1855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2267</v>
      </c>
      <c r="F72" s="5" t="s">
        <v>1618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2268</v>
      </c>
      <c r="F73" s="5" t="s">
        <v>1806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2269</v>
      </c>
      <c r="F74" s="5" t="s">
        <v>2185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2270</v>
      </c>
      <c r="F75" s="5" t="s">
        <v>1622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2271</v>
      </c>
      <c r="F76" s="5" t="s">
        <v>1756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2272</v>
      </c>
      <c r="F77" s="5" t="s">
        <v>1793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2273</v>
      </c>
      <c r="F78" s="5" t="s">
        <v>1858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2274</v>
      </c>
      <c r="F79" s="5" t="s">
        <v>1771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2275</v>
      </c>
      <c r="F80" s="5" t="s">
        <v>1672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2276</v>
      </c>
      <c r="F81" s="5" t="s">
        <v>1809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2277</v>
      </c>
      <c r="F82" s="5" t="s">
        <v>1807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2278</v>
      </c>
      <c r="F83" s="5" t="s">
        <v>1661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2279</v>
      </c>
      <c r="F84" s="5" t="s">
        <v>1693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2280</v>
      </c>
      <c r="F85" s="5" t="s">
        <v>1969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2281</v>
      </c>
      <c r="F86" s="5" t="s">
        <v>1686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2282</v>
      </c>
      <c r="F87" s="5" t="s">
        <v>1932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2283</v>
      </c>
      <c r="F88" s="5" t="s">
        <v>1656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2284</v>
      </c>
      <c r="F89" s="5" t="s">
        <v>1900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2285</v>
      </c>
      <c r="F90" s="5" t="s">
        <v>2130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2286</v>
      </c>
      <c r="F91" s="5" t="s">
        <v>1866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2287</v>
      </c>
      <c r="F92" s="5" t="s">
        <v>1866</v>
      </c>
    </row>
    <row r="93" spans="1:6" ht="25.2" customHeight="1" x14ac:dyDescent="0.3">
      <c r="A93" s="5" t="s">
        <v>1458</v>
      </c>
      <c r="B93" s="37">
        <v>21</v>
      </c>
      <c r="C93" s="9" t="str">
        <f>VLOOKUP(B93,Meta.Features!$A:$G,$C$1,FALSE)</f>
        <v>Diagnosis</v>
      </c>
      <c r="D93" s="44" t="str">
        <f>VLOOKUP(B93,Meta.Features!$A:$G,$D$1,FALSE)</f>
        <v>DiagnosisConfirmation</v>
      </c>
      <c r="E93" s="60" t="str">
        <f>"7.1"</f>
        <v>7.1</v>
      </c>
      <c r="F93" s="5">
        <v>7</v>
      </c>
    </row>
    <row r="94" spans="1:6" ht="25.2" customHeight="1" x14ac:dyDescent="0.3">
      <c r="A94" s="5" t="s">
        <v>1458</v>
      </c>
      <c r="B94" s="37">
        <v>21</v>
      </c>
      <c r="C94" s="9" t="str">
        <f>VLOOKUP(B94,Meta.Features!$A:$G,$C$1,FALSE)</f>
        <v>Diagnosis</v>
      </c>
      <c r="D94" s="44" t="str">
        <f>VLOOKUP(B94,Meta.Features!$A:$G,$D$1,FALSE)</f>
        <v>DiagnosisConfirmation</v>
      </c>
      <c r="E94" s="60" t="str">
        <f>"7.2"</f>
        <v>7.2</v>
      </c>
      <c r="F94" s="5">
        <v>7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VLOOKUP(B95,Meta.Features!$A:$G,$C$1,FALSE)</f>
        <v>Diagnosis</v>
      </c>
      <c r="D95" s="44" t="str">
        <f>VLOOKUP(B95,Meta.Features!$A:$G,$D$1,FALSE)</f>
        <v>DiagnosisConfirmation</v>
      </c>
      <c r="E95" s="60" t="str">
        <f>"7.9"</f>
        <v>7.9</v>
      </c>
      <c r="F95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2228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2228</v>
      </c>
      <c r="N2" s="51" t="s">
        <v>2228</v>
      </c>
      <c r="O2" s="51" t="s">
        <v>2228</v>
      </c>
      <c r="P2" s="51" t="s">
        <v>2228</v>
      </c>
      <c r="Q2" s="51" t="s">
        <v>2228</v>
      </c>
      <c r="R2" s="51" t="s">
        <v>2228</v>
      </c>
      <c r="S2" s="51" t="s">
        <v>2228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2147</v>
      </c>
      <c r="G3" s="32" t="s">
        <v>2139</v>
      </c>
      <c r="H3" s="32" t="s">
        <v>2140</v>
      </c>
      <c r="I3" s="32" t="s">
        <v>2141</v>
      </c>
      <c r="J3" s="32" t="s">
        <v>2142</v>
      </c>
      <c r="K3" s="32" t="s">
        <v>2143</v>
      </c>
      <c r="L3" s="32" t="s">
        <v>2148</v>
      </c>
      <c r="M3" s="32" t="s">
        <v>2152</v>
      </c>
      <c r="N3" s="32" t="s">
        <v>2153</v>
      </c>
      <c r="O3" s="32" t="s">
        <v>2154</v>
      </c>
      <c r="P3" s="32" t="s">
        <v>2155</v>
      </c>
      <c r="Q3" s="32" t="s">
        <v>2149</v>
      </c>
      <c r="R3" s="32" t="s">
        <v>2150</v>
      </c>
      <c r="S3" s="32" t="s">
        <v>2151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2146</v>
      </c>
      <c r="G4" s="3" t="s">
        <v>652</v>
      </c>
      <c r="H4" s="3" t="s">
        <v>2156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2146</v>
      </c>
      <c r="G5" s="3" t="s">
        <v>652</v>
      </c>
      <c r="H5" s="3" t="s">
        <v>2156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2146</v>
      </c>
      <c r="G6" s="3" t="s">
        <v>652</v>
      </c>
      <c r="H6" s="3" t="s">
        <v>2156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2146</v>
      </c>
      <c r="G7" s="3" t="s">
        <v>652</v>
      </c>
      <c r="H7" s="3" t="s">
        <v>2156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2146</v>
      </c>
      <c r="G8" s="3" t="s">
        <v>652</v>
      </c>
      <c r="H8" s="3" t="s">
        <v>2156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2146</v>
      </c>
      <c r="G9" s="3" t="s">
        <v>652</v>
      </c>
      <c r="H9" s="3" t="s">
        <v>2156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2146</v>
      </c>
      <c r="G10" s="3" t="s">
        <v>652</v>
      </c>
      <c r="H10" s="3" t="s">
        <v>2156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2146</v>
      </c>
      <c r="G11" s="3" t="s">
        <v>652</v>
      </c>
      <c r="H11" s="3" t="s">
        <v>2156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2146</v>
      </c>
      <c r="G12" s="3" t="s">
        <v>652</v>
      </c>
      <c r="H12" s="3" t="s">
        <v>2156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2146</v>
      </c>
      <c r="G13" s="3" t="s">
        <v>652</v>
      </c>
      <c r="H13" s="3" t="s">
        <v>2156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2146</v>
      </c>
      <c r="G14" s="3" t="s">
        <v>652</v>
      </c>
      <c r="H14" s="3" t="s">
        <v>2156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2146</v>
      </c>
      <c r="G15" s="3" t="s">
        <v>652</v>
      </c>
      <c r="H15" s="3" t="s">
        <v>2156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2146</v>
      </c>
      <c r="G16" s="3" t="s">
        <v>652</v>
      </c>
      <c r="H16" s="3" t="s">
        <v>2156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2146</v>
      </c>
      <c r="G17" s="3" t="s">
        <v>652</v>
      </c>
      <c r="H17" s="3" t="s">
        <v>2156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2146</v>
      </c>
      <c r="G18" s="3" t="s">
        <v>652</v>
      </c>
      <c r="H18" s="3" t="s">
        <v>2156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2146</v>
      </c>
      <c r="G19" s="3" t="s">
        <v>652</v>
      </c>
      <c r="H19" s="3" t="s">
        <v>2156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2146</v>
      </c>
      <c r="G20" s="3" t="s">
        <v>652</v>
      </c>
      <c r="H20" s="3" t="s">
        <v>2156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2146</v>
      </c>
      <c r="G21" s="3" t="s">
        <v>652</v>
      </c>
      <c r="H21" s="3" t="s">
        <v>2156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2146</v>
      </c>
      <c r="G22" s="3" t="s">
        <v>652</v>
      </c>
      <c r="H22" s="3" t="s">
        <v>2156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2146</v>
      </c>
      <c r="G23" s="3" t="s">
        <v>652</v>
      </c>
      <c r="H23" s="3" t="s">
        <v>2156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2146</v>
      </c>
      <c r="G24" s="3" t="s">
        <v>652</v>
      </c>
      <c r="H24" s="3" t="s">
        <v>2156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2146</v>
      </c>
      <c r="G25" s="3" t="s">
        <v>652</v>
      </c>
      <c r="H25" s="3" t="s">
        <v>2156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2146</v>
      </c>
      <c r="G26" s="3" t="s">
        <v>652</v>
      </c>
      <c r="H26" s="3" t="s">
        <v>2156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2146</v>
      </c>
      <c r="G27" s="3" t="s">
        <v>652</v>
      </c>
      <c r="H27" s="3" t="s">
        <v>2156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2146</v>
      </c>
      <c r="G28" s="3" t="s">
        <v>652</v>
      </c>
      <c r="H28" s="3" t="s">
        <v>2156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2146</v>
      </c>
      <c r="G29" s="3" t="s">
        <v>652</v>
      </c>
      <c r="H29" s="3" t="s">
        <v>2156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2146</v>
      </c>
      <c r="G30" s="3" t="s">
        <v>652</v>
      </c>
      <c r="H30" s="3" t="s">
        <v>2156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2146</v>
      </c>
      <c r="G31" s="3" t="s">
        <v>652</v>
      </c>
      <c r="H31" s="3" t="s">
        <v>2156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2146</v>
      </c>
      <c r="G32" s="3" t="s">
        <v>652</v>
      </c>
      <c r="H32" s="3" t="s">
        <v>2156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2146</v>
      </c>
      <c r="G33" s="3" t="s">
        <v>652</v>
      </c>
      <c r="H33" s="3" t="s">
        <v>2156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2146</v>
      </c>
      <c r="G34" s="3" t="s">
        <v>652</v>
      </c>
      <c r="H34" s="3" t="s">
        <v>2156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2146</v>
      </c>
      <c r="G35" s="3" t="s">
        <v>652</v>
      </c>
      <c r="H35" s="3" t="s">
        <v>2156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2146</v>
      </c>
      <c r="G36" s="3" t="s">
        <v>652</v>
      </c>
      <c r="H36" s="3" t="s">
        <v>2156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2146</v>
      </c>
      <c r="G37" s="3" t="s">
        <v>652</v>
      </c>
      <c r="H37" s="3" t="s">
        <v>2156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2146</v>
      </c>
      <c r="G38" s="3" t="s">
        <v>652</v>
      </c>
      <c r="H38" s="3" t="s">
        <v>2156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2146</v>
      </c>
      <c r="G39" s="3" t="s">
        <v>652</v>
      </c>
      <c r="H39" s="3" t="s">
        <v>2156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2146</v>
      </c>
      <c r="G40" s="3" t="s">
        <v>652</v>
      </c>
      <c r="H40" s="3" t="s">
        <v>2156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2146</v>
      </c>
      <c r="G41" s="3" t="s">
        <v>652</v>
      </c>
      <c r="H41" s="3" t="s">
        <v>2156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2146</v>
      </c>
      <c r="G42" s="3" t="s">
        <v>652</v>
      </c>
      <c r="H42" s="3" t="s">
        <v>2156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2146</v>
      </c>
      <c r="G43" s="3" t="s">
        <v>652</v>
      </c>
      <c r="H43" s="3" t="s">
        <v>2156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2146</v>
      </c>
      <c r="G44" s="3" t="s">
        <v>652</v>
      </c>
      <c r="H44" s="3" t="s">
        <v>2156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2146</v>
      </c>
      <c r="G45" s="3" t="s">
        <v>652</v>
      </c>
      <c r="H45" s="3" t="s">
        <v>2156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2146</v>
      </c>
      <c r="G46" s="3" t="s">
        <v>652</v>
      </c>
      <c r="H46" s="3" t="s">
        <v>2156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2146</v>
      </c>
      <c r="G47" s="3" t="s">
        <v>652</v>
      </c>
      <c r="H47" s="3" t="s">
        <v>2156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2146</v>
      </c>
      <c r="G48" s="3" t="s">
        <v>652</v>
      </c>
      <c r="H48" s="3" t="s">
        <v>2156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2146</v>
      </c>
      <c r="G49" s="3" t="s">
        <v>652</v>
      </c>
      <c r="H49" s="3" t="s">
        <v>2156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2146</v>
      </c>
      <c r="G50" s="3" t="s">
        <v>652</v>
      </c>
      <c r="H50" s="3" t="s">
        <v>2156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2146</v>
      </c>
      <c r="G51" s="3" t="s">
        <v>652</v>
      </c>
      <c r="H51" s="3" t="s">
        <v>2156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2146</v>
      </c>
      <c r="G52" s="3" t="s">
        <v>652</v>
      </c>
      <c r="H52" s="3" t="s">
        <v>2156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2146</v>
      </c>
      <c r="G53" s="3" t="s">
        <v>652</v>
      </c>
      <c r="H53" s="3" t="s">
        <v>2156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2146</v>
      </c>
      <c r="G54" s="3" t="s">
        <v>652</v>
      </c>
      <c r="H54" s="3" t="s">
        <v>2156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2146</v>
      </c>
      <c r="G55" s="3" t="s">
        <v>652</v>
      </c>
      <c r="H55" s="3" t="s">
        <v>2156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2146</v>
      </c>
      <c r="G56" s="3" t="s">
        <v>652</v>
      </c>
      <c r="H56" s="3" t="s">
        <v>2156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2146</v>
      </c>
      <c r="G57" s="3" t="s">
        <v>652</v>
      </c>
      <c r="H57" s="3" t="s">
        <v>2156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2146</v>
      </c>
      <c r="G58" s="3" t="s">
        <v>652</v>
      </c>
      <c r="H58" s="3" t="s">
        <v>2156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2146</v>
      </c>
      <c r="G59" s="3" t="s">
        <v>652</v>
      </c>
      <c r="H59" s="3" t="s">
        <v>2156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2146</v>
      </c>
      <c r="G60" s="3" t="s">
        <v>652</v>
      </c>
      <c r="H60" s="3" t="s">
        <v>2156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2146</v>
      </c>
      <c r="G61" s="3" t="s">
        <v>652</v>
      </c>
      <c r="H61" s="3" t="s">
        <v>2156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2146</v>
      </c>
      <c r="G62" s="3" t="s">
        <v>652</v>
      </c>
      <c r="H62" s="3" t="s">
        <v>2156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2146</v>
      </c>
      <c r="G63" s="3" t="s">
        <v>652</v>
      </c>
      <c r="H63" s="3" t="s">
        <v>2156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2146</v>
      </c>
      <c r="G64" s="3" t="s">
        <v>652</v>
      </c>
      <c r="H64" s="3" t="s">
        <v>2156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2146</v>
      </c>
      <c r="G65" s="3" t="s">
        <v>652</v>
      </c>
      <c r="H65" s="3" t="s">
        <v>2156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2146</v>
      </c>
      <c r="G66" s="3" t="s">
        <v>652</v>
      </c>
      <c r="H66" s="3" t="s">
        <v>2156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2146</v>
      </c>
      <c r="G67" s="3" t="s">
        <v>652</v>
      </c>
      <c r="H67" s="3" t="s">
        <v>2156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2146</v>
      </c>
      <c r="G68" s="3" t="s">
        <v>652</v>
      </c>
      <c r="H68" s="3" t="s">
        <v>2156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2146</v>
      </c>
      <c r="G69" s="3" t="s">
        <v>652</v>
      </c>
      <c r="H69" s="3" t="s">
        <v>2156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2146</v>
      </c>
      <c r="G70" s="3" t="s">
        <v>652</v>
      </c>
      <c r="H70" s="3" t="s">
        <v>2156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2146</v>
      </c>
      <c r="G71" s="3" t="s">
        <v>652</v>
      </c>
      <c r="H71" s="3" t="s">
        <v>2156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2146</v>
      </c>
      <c r="G72" s="3" t="s">
        <v>652</v>
      </c>
      <c r="H72" s="3" t="s">
        <v>2156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2146</v>
      </c>
      <c r="G73" s="3" t="s">
        <v>652</v>
      </c>
      <c r="H73" s="3" t="s">
        <v>2156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2146</v>
      </c>
      <c r="G74" s="3" t="s">
        <v>652</v>
      </c>
      <c r="H74" s="3" t="s">
        <v>2156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2146</v>
      </c>
      <c r="G75" s="3" t="s">
        <v>652</v>
      </c>
      <c r="H75" s="3" t="s">
        <v>2156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2146</v>
      </c>
      <c r="G76" s="3" t="s">
        <v>652</v>
      </c>
      <c r="H76" s="3" t="s">
        <v>2156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2146</v>
      </c>
      <c r="G77" s="3" t="s">
        <v>652</v>
      </c>
      <c r="H77" s="3" t="s">
        <v>2156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2146</v>
      </c>
      <c r="G78" s="3" t="s">
        <v>652</v>
      </c>
      <c r="H78" s="3" t="s">
        <v>2156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2146</v>
      </c>
      <c r="G79" s="3" t="s">
        <v>652</v>
      </c>
      <c r="H79" s="3" t="s">
        <v>2156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2146</v>
      </c>
      <c r="G80" s="3" t="s">
        <v>652</v>
      </c>
      <c r="H80" s="3" t="s">
        <v>2156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2146</v>
      </c>
      <c r="G81" s="3" t="s">
        <v>652</v>
      </c>
      <c r="H81" s="3" t="s">
        <v>2156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2146</v>
      </c>
      <c r="G82" s="3" t="s">
        <v>652</v>
      </c>
      <c r="H82" s="3" t="s">
        <v>2156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2146</v>
      </c>
      <c r="G83" s="3" t="s">
        <v>652</v>
      </c>
      <c r="H83" s="3" t="s">
        <v>2156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2146</v>
      </c>
      <c r="G84" s="3" t="s">
        <v>652</v>
      </c>
      <c r="H84" s="3" t="s">
        <v>2156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2146</v>
      </c>
      <c r="G85" s="3" t="s">
        <v>652</v>
      </c>
      <c r="H85" s="3" t="s">
        <v>2156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2146</v>
      </c>
      <c r="G86" s="3" t="s">
        <v>652</v>
      </c>
      <c r="H86" s="3" t="s">
        <v>2156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2146</v>
      </c>
      <c r="G87" s="3" t="s">
        <v>652</v>
      </c>
      <c r="H87" s="3" t="s">
        <v>2156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2146</v>
      </c>
      <c r="G88" s="3" t="s">
        <v>652</v>
      </c>
      <c r="H88" s="3" t="s">
        <v>2156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2146</v>
      </c>
      <c r="G89" s="3" t="s">
        <v>652</v>
      </c>
      <c r="H89" s="3" t="s">
        <v>2156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2146</v>
      </c>
      <c r="G90" s="3" t="s">
        <v>652</v>
      </c>
      <c r="H90" s="3" t="s">
        <v>2156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2146</v>
      </c>
      <c r="G91" s="3" t="s">
        <v>652</v>
      </c>
      <c r="H91" s="3" t="s">
        <v>2156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2146</v>
      </c>
      <c r="G92" s="3" t="s">
        <v>652</v>
      </c>
      <c r="H92" s="3" t="s">
        <v>2156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2146</v>
      </c>
      <c r="G93" s="3" t="s">
        <v>652</v>
      </c>
      <c r="H93" s="3" t="s">
        <v>2156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2146</v>
      </c>
      <c r="G94" s="3" t="s">
        <v>652</v>
      </c>
      <c r="H94" s="3" t="s">
        <v>2156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2146</v>
      </c>
      <c r="G95" s="3" t="s">
        <v>652</v>
      </c>
      <c r="H95" s="3" t="s">
        <v>2156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2146</v>
      </c>
      <c r="G96" s="3" t="s">
        <v>652</v>
      </c>
      <c r="H96" s="3" t="s">
        <v>2156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2146</v>
      </c>
      <c r="G97" s="3" t="s">
        <v>652</v>
      </c>
      <c r="H97" s="3" t="s">
        <v>2156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2146</v>
      </c>
      <c r="G98" s="3" t="s">
        <v>652</v>
      </c>
      <c r="H98" s="3" t="s">
        <v>2156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2146</v>
      </c>
      <c r="G99" s="3" t="s">
        <v>652</v>
      </c>
      <c r="H99" s="3" t="s">
        <v>2156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2146</v>
      </c>
      <c r="G100" s="3" t="s">
        <v>652</v>
      </c>
      <c r="H100" s="3" t="s">
        <v>2156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2146</v>
      </c>
      <c r="G101" s="3" t="s">
        <v>652</v>
      </c>
      <c r="H101" s="3" t="s">
        <v>2156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2146</v>
      </c>
      <c r="G102" s="3" t="s">
        <v>652</v>
      </c>
      <c r="H102" s="3" t="s">
        <v>2156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2146</v>
      </c>
      <c r="G103" s="3" t="s">
        <v>652</v>
      </c>
      <c r="H103" s="3" t="s">
        <v>2168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2146</v>
      </c>
      <c r="G104" s="3" t="s">
        <v>652</v>
      </c>
      <c r="H104" s="3" t="s">
        <v>2156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2146</v>
      </c>
      <c r="G105" s="3" t="s">
        <v>652</v>
      </c>
      <c r="H105" s="3" t="s">
        <v>2156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2146</v>
      </c>
      <c r="G106" s="3" t="s">
        <v>652</v>
      </c>
      <c r="H106" s="3" t="s">
        <v>2156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2146</v>
      </c>
      <c r="G107" s="3" t="s">
        <v>652</v>
      </c>
      <c r="H107" s="3" t="s">
        <v>2156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2146</v>
      </c>
      <c r="G108" s="3" t="s">
        <v>652</v>
      </c>
      <c r="H108" s="3" t="s">
        <v>2156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2146</v>
      </c>
      <c r="G109" s="3" t="s">
        <v>652</v>
      </c>
      <c r="H109" s="3" t="s">
        <v>2156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2146</v>
      </c>
      <c r="G110" s="3" t="s">
        <v>652</v>
      </c>
      <c r="H110" s="3" t="s">
        <v>2156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2146</v>
      </c>
      <c r="G111" s="3" t="s">
        <v>652</v>
      </c>
      <c r="H111" s="3" t="s">
        <v>2156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2146</v>
      </c>
      <c r="G112" s="3" t="s">
        <v>652</v>
      </c>
      <c r="H112" s="3" t="s">
        <v>2156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2146</v>
      </c>
      <c r="G113" s="3" t="s">
        <v>652</v>
      </c>
      <c r="H113" s="3" t="s">
        <v>2156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2146</v>
      </c>
      <c r="G114" s="3" t="s">
        <v>652</v>
      </c>
      <c r="H114" s="3" t="s">
        <v>2156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2146</v>
      </c>
      <c r="G115" s="3" t="s">
        <v>652</v>
      </c>
      <c r="H115" s="3" t="s">
        <v>2156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2146</v>
      </c>
      <c r="G116" s="3" t="s">
        <v>652</v>
      </c>
      <c r="H116" s="3" t="s">
        <v>2156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2146</v>
      </c>
      <c r="G117" s="3" t="s">
        <v>652</v>
      </c>
      <c r="H117" s="3" t="s">
        <v>2156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2146</v>
      </c>
      <c r="G118" s="3" t="s">
        <v>652</v>
      </c>
      <c r="H118" s="3" t="s">
        <v>2156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2146</v>
      </c>
      <c r="G119" s="3" t="s">
        <v>652</v>
      </c>
      <c r="H119" s="3" t="s">
        <v>2156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2146</v>
      </c>
      <c r="G120" s="3" t="s">
        <v>652</v>
      </c>
      <c r="H120" s="3" t="s">
        <v>2156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2146</v>
      </c>
      <c r="G121" s="3" t="s">
        <v>652</v>
      </c>
      <c r="H121" s="3" t="s">
        <v>2156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2146</v>
      </c>
      <c r="G122" s="3" t="s">
        <v>652</v>
      </c>
      <c r="H122" s="3" t="s">
        <v>2156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2146</v>
      </c>
      <c r="G123" s="3" t="s">
        <v>652</v>
      </c>
      <c r="H123" s="3" t="s">
        <v>2156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2146</v>
      </c>
      <c r="G124" s="3" t="s">
        <v>652</v>
      </c>
      <c r="H124" s="3" t="s">
        <v>2156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2146</v>
      </c>
      <c r="G125" s="3" t="s">
        <v>652</v>
      </c>
      <c r="H125" s="3" t="s">
        <v>2156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2146</v>
      </c>
      <c r="G126" s="3" t="s">
        <v>652</v>
      </c>
      <c r="H126" s="3" t="s">
        <v>2156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2146</v>
      </c>
      <c r="G127" s="3" t="s">
        <v>652</v>
      </c>
      <c r="H127" s="3" t="s">
        <v>2156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2146</v>
      </c>
      <c r="G128" s="3" t="s">
        <v>652</v>
      </c>
      <c r="H128" s="3" t="s">
        <v>2156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2146</v>
      </c>
      <c r="G129" s="3" t="s">
        <v>652</v>
      </c>
      <c r="H129" s="3" t="s">
        <v>2156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2146</v>
      </c>
      <c r="G130" s="3" t="s">
        <v>652</v>
      </c>
      <c r="H130" s="3" t="s">
        <v>2156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2146</v>
      </c>
      <c r="G131" s="3" t="s">
        <v>652</v>
      </c>
      <c r="H131" s="3" t="s">
        <v>2156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2146</v>
      </c>
      <c r="G132" s="3" t="s">
        <v>652</v>
      </c>
      <c r="H132" s="3" t="s">
        <v>2156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2146</v>
      </c>
      <c r="G133" s="3" t="s">
        <v>652</v>
      </c>
      <c r="H133" s="3" t="s">
        <v>2156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2146</v>
      </c>
      <c r="G134" s="3" t="s">
        <v>652</v>
      </c>
      <c r="H134" s="3" t="s">
        <v>2156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2146</v>
      </c>
      <c r="G135" s="3" t="s">
        <v>652</v>
      </c>
      <c r="H135" s="3" t="s">
        <v>2156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2146</v>
      </c>
      <c r="G136" s="3" t="s">
        <v>652</v>
      </c>
      <c r="H136" s="3" t="s">
        <v>2156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47" t="s">
        <v>2146</v>
      </c>
      <c r="G137" s="3" t="s">
        <v>652</v>
      </c>
      <c r="H137" s="3" t="s">
        <v>2156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2146</v>
      </c>
      <c r="G138" s="3" t="s">
        <v>652</v>
      </c>
      <c r="H138" s="3" t="s">
        <v>2156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2146</v>
      </c>
      <c r="G139" s="3" t="s">
        <v>652</v>
      </c>
      <c r="H139" s="3" t="s">
        <v>2156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2146</v>
      </c>
      <c r="G140" s="3" t="s">
        <v>652</v>
      </c>
      <c r="H140" s="3" t="s">
        <v>2156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2146</v>
      </c>
      <c r="G141" s="3" t="s">
        <v>652</v>
      </c>
      <c r="H141" s="3" t="s">
        <v>2156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2146</v>
      </c>
      <c r="G142" s="3" t="s">
        <v>652</v>
      </c>
      <c r="H142" s="3" t="s">
        <v>2156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2146</v>
      </c>
      <c r="G143" s="3" t="s">
        <v>652</v>
      </c>
      <c r="H143" s="3" t="s">
        <v>2156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2146</v>
      </c>
      <c r="G144" s="3" t="s">
        <v>652</v>
      </c>
      <c r="H144" s="3" t="s">
        <v>2156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2146</v>
      </c>
      <c r="G145" s="3" t="s">
        <v>652</v>
      </c>
      <c r="H145" s="3" t="s">
        <v>2156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2146</v>
      </c>
      <c r="G146" s="3" t="s">
        <v>652</v>
      </c>
      <c r="H146" s="3" t="s">
        <v>2156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2146</v>
      </c>
      <c r="G147" s="3" t="s">
        <v>652</v>
      </c>
      <c r="H147" s="3" t="s">
        <v>2156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2146</v>
      </c>
      <c r="G148" s="3" t="s">
        <v>652</v>
      </c>
      <c r="H148" s="3" t="s">
        <v>2156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2146</v>
      </c>
      <c r="G149" s="3" t="s">
        <v>652</v>
      </c>
      <c r="H149" s="3" t="s">
        <v>2156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2146</v>
      </c>
      <c r="G150" s="3" t="s">
        <v>652</v>
      </c>
      <c r="H150" s="3" t="s">
        <v>2156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2146</v>
      </c>
      <c r="G151" s="3" t="s">
        <v>652</v>
      </c>
      <c r="H151" s="3" t="s">
        <v>2156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2146</v>
      </c>
      <c r="G152" s="3" t="s">
        <v>652</v>
      </c>
      <c r="H152" s="3" t="s">
        <v>2156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2146</v>
      </c>
      <c r="G153" s="3" t="s">
        <v>652</v>
      </c>
      <c r="H153" s="3" t="s">
        <v>2156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L30 E32:L153 E31">
    <cfRule type="cellIs" dxfId="101" priority="3" operator="equal">
      <formula>"TRUE"</formula>
    </cfRule>
  </conditionalFormatting>
  <conditionalFormatting sqref="E4:E153">
    <cfRule type="cellIs" dxfId="100" priority="2" operator="equal">
      <formula>"FALSE"</formula>
    </cfRule>
  </conditionalFormatting>
  <conditionalFormatting sqref="F31:L31">
    <cfRule type="cellIs" dxfId="99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2228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2228</v>
      </c>
      <c r="E2" s="51" t="s">
        <v>2228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2222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2223</v>
      </c>
    </row>
    <row r="6" spans="1:6" ht="37.799999999999997" customHeight="1" x14ac:dyDescent="0.3">
      <c r="A6" s="5" t="s">
        <v>1458</v>
      </c>
      <c r="B6" s="5" t="s">
        <v>2215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2215</v>
      </c>
      <c r="C7" s="5" t="str">
        <f>"'Same organ'"</f>
        <v>'Same organ'</v>
      </c>
      <c r="D7" s="5">
        <v>90</v>
      </c>
      <c r="E7" s="5">
        <v>2</v>
      </c>
      <c r="F7" s="5" t="s">
        <v>2222</v>
      </c>
    </row>
    <row r="8" spans="1:6" ht="37.799999999999997" customHeight="1" x14ac:dyDescent="0.3">
      <c r="A8" s="5" t="s">
        <v>1458</v>
      </c>
      <c r="B8" s="5" t="s">
        <v>2215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2215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2216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2216</v>
      </c>
      <c r="C11" s="5" t="str">
        <f>"'Same organ'"</f>
        <v>'Same organ'</v>
      </c>
      <c r="D11" s="5">
        <v>90</v>
      </c>
      <c r="E11" s="5">
        <v>2</v>
      </c>
      <c r="F11" s="5" t="s">
        <v>2223</v>
      </c>
    </row>
    <row r="12" spans="1:6" ht="37.799999999999997" customHeight="1" x14ac:dyDescent="0.3">
      <c r="A12" s="5" t="s">
        <v>1458</v>
      </c>
      <c r="B12" s="5" t="s">
        <v>2216</v>
      </c>
      <c r="C12" s="5" t="str">
        <f>"'Different'"</f>
        <v>'Different'</v>
      </c>
      <c r="D12" s="5">
        <v>0</v>
      </c>
      <c r="E12" s="5">
        <v>3</v>
      </c>
      <c r="F12" s="5" t="s">
        <v>2224</v>
      </c>
    </row>
    <row r="13" spans="1:6" ht="37.799999999999997" customHeight="1" x14ac:dyDescent="0.3">
      <c r="A13" s="5" t="s">
        <v>1458</v>
      </c>
      <c r="B13" s="5" t="s">
        <v>2217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2217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2217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2217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2217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2218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2218</v>
      </c>
      <c r="C19" s="16" t="str">
        <f>"'Same entity'"</f>
        <v>'Same entity'</v>
      </c>
      <c r="E19" s="5">
        <v>2</v>
      </c>
      <c r="F19" s="5" t="s">
        <v>2225</v>
      </c>
    </row>
    <row r="20" spans="1:6" ht="37.799999999999997" customHeight="1" x14ac:dyDescent="0.3">
      <c r="A20" s="5" t="s">
        <v>1458</v>
      </c>
      <c r="B20" s="5" t="s">
        <v>2218</v>
      </c>
      <c r="C20" s="5" t="str">
        <f>"'Different'"</f>
        <v>'Different'</v>
      </c>
      <c r="E20" s="5">
        <v>3</v>
      </c>
      <c r="F20" s="5" t="s">
        <v>2226</v>
      </c>
    </row>
    <row r="21" spans="1:6" ht="37.799999999999997" customHeight="1" x14ac:dyDescent="0.3">
      <c r="A21" s="5" t="s">
        <v>1458</v>
      </c>
      <c r="B21" s="5" t="s">
        <v>2219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2219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2220</v>
      </c>
      <c r="C23" s="5" t="str">
        <f>"'CandidateValue'"</f>
        <v>'CandidateValue'</v>
      </c>
      <c r="E23" s="5">
        <v>1</v>
      </c>
      <c r="F23" s="5" t="s">
        <v>2227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">
    <cfRule type="cellIs" dxfId="98" priority="2" operator="equal">
      <formula>"FALSE"</formula>
    </cfRule>
    <cfRule type="cellIs" dxfId="97" priority="3" operator="equal">
      <formula>"TRUE"</formula>
    </cfRule>
  </conditionalFormatting>
  <conditionalFormatting sqref="G3:G151 D3:D151">
    <cfRule type="cellIs" dxfId="96" priority="4" operator="equal">
      <formula>"FALSE"</formula>
    </cfRule>
    <cfRule type="cellIs" dxfId="95" priority="5" operator="equal">
      <formula>"TRUE"</formula>
    </cfRule>
  </conditionalFormatting>
  <conditionalFormatting sqref="E3:E151">
    <cfRule type="cellIs" dxfId="94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64" t="s">
        <v>1497</v>
      </c>
      <c r="H1" s="64"/>
      <c r="I1" s="64"/>
      <c r="J1" s="64"/>
      <c r="K1" s="64"/>
      <c r="L1" s="64" t="s">
        <v>1527</v>
      </c>
      <c r="M1" s="64"/>
      <c r="N1" s="64"/>
      <c r="O1" s="64"/>
      <c r="P1" s="64"/>
      <c r="Q1" s="64" t="s">
        <v>391</v>
      </c>
      <c r="R1" s="64"/>
      <c r="S1" s="64"/>
      <c r="T1" s="64"/>
      <c r="U1" s="64"/>
      <c r="V1" s="63" t="s">
        <v>390</v>
      </c>
      <c r="W1" s="64"/>
      <c r="X1" s="64"/>
      <c r="Y1" s="64"/>
      <c r="Z1" s="64"/>
      <c r="AA1" s="63" t="s">
        <v>164</v>
      </c>
      <c r="AB1" s="64"/>
      <c r="AC1" s="64"/>
      <c r="AD1" s="64"/>
      <c r="AE1" s="64"/>
      <c r="AF1" s="63" t="s">
        <v>441</v>
      </c>
      <c r="AG1" s="64"/>
      <c r="AH1" s="64"/>
      <c r="AI1" s="64"/>
      <c r="AJ1" s="64"/>
      <c r="AK1" s="63" t="s">
        <v>398</v>
      </c>
      <c r="AL1" s="64"/>
      <c r="AM1" s="64"/>
      <c r="AN1" s="64"/>
      <c r="AO1" s="64"/>
      <c r="AP1" s="63" t="s">
        <v>11</v>
      </c>
      <c r="AQ1" s="64"/>
      <c r="AR1" s="64"/>
      <c r="AS1" s="64"/>
      <c r="AT1" s="65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U5:AE5 Q4:AE4 Q6:U6 Z6:AE6 Q7:Z7 AE7 AJ8 AO8:AT8 AK10:AN10 AF9:AT9 L12:AT998 AF4:AT7 Q8:AE9 L4:P9">
    <cfRule type="expression" dxfId="93" priority="82">
      <formula>NOT(ISBLANK(L4))</formula>
    </cfRule>
  </conditionalFormatting>
  <conditionalFormatting sqref="X4">
    <cfRule type="expression" dxfId="92" priority="81">
      <formula>NOT(ISBLANK(X4))</formula>
    </cfRule>
  </conditionalFormatting>
  <conditionalFormatting sqref="AR4:AR5">
    <cfRule type="expression" dxfId="91" priority="80">
      <formula>NOT(ISBLANK(AR4))</formula>
    </cfRule>
  </conditionalFormatting>
  <conditionalFormatting sqref="V5:W5 Y5">
    <cfRule type="expression" dxfId="90" priority="79">
      <formula>NOT(ISBLANK(V5))</formula>
    </cfRule>
  </conditionalFormatting>
  <conditionalFormatting sqref="X5">
    <cfRule type="expression" dxfId="89" priority="78">
      <formula>NOT(ISBLANK(X5))</formula>
    </cfRule>
  </conditionalFormatting>
  <conditionalFormatting sqref="S7">
    <cfRule type="expression" dxfId="88" priority="77">
      <formula>NOT(ISBLANK(S7))</formula>
    </cfRule>
  </conditionalFormatting>
  <conditionalFormatting sqref="AM7">
    <cfRule type="expression" dxfId="87" priority="76">
      <formula>NOT(ISBLANK(AM7))</formula>
    </cfRule>
  </conditionalFormatting>
  <conditionalFormatting sqref="AR7">
    <cfRule type="expression" dxfId="86" priority="75">
      <formula>NOT(ISBLANK(AR7))</formula>
    </cfRule>
  </conditionalFormatting>
  <conditionalFormatting sqref="AK10:AN10">
    <cfRule type="expression" dxfId="85" priority="74">
      <formula>NOT(ISBLANK(AK10))</formula>
    </cfRule>
  </conditionalFormatting>
  <conditionalFormatting sqref="Q8:R8 T8:U8 AE8 AO8 AS8:AT8 Z8">
    <cfRule type="expression" dxfId="84" priority="73">
      <formula>NOT(ISBLANK(Q8))</formula>
    </cfRule>
  </conditionalFormatting>
  <conditionalFormatting sqref="S8">
    <cfRule type="expression" dxfId="83" priority="72">
      <formula>NOT(ISBLANK(S8))</formula>
    </cfRule>
  </conditionalFormatting>
  <conditionalFormatting sqref="AR8">
    <cfRule type="expression" dxfId="82" priority="71">
      <formula>NOT(ISBLANK(AR8))</formula>
    </cfRule>
  </conditionalFormatting>
  <conditionalFormatting sqref="V8:W8 Y8">
    <cfRule type="expression" dxfId="81" priority="70">
      <formula>NOT(ISBLANK(V8))</formula>
    </cfRule>
  </conditionalFormatting>
  <conditionalFormatting sqref="X8">
    <cfRule type="expression" dxfId="80" priority="69">
      <formula>NOT(ISBLANK(X8))</formula>
    </cfRule>
  </conditionalFormatting>
  <conditionalFormatting sqref="AP9:AS9">
    <cfRule type="expression" dxfId="79" priority="68">
      <formula>NOT(ISBLANK(AP9))</formula>
    </cfRule>
  </conditionalFormatting>
  <conditionalFormatting sqref="Q9:R9 T9:U9 AE9 AO9 AT9 Z9">
    <cfRule type="expression" dxfId="78" priority="67">
      <formula>NOT(ISBLANK(Q9))</formula>
    </cfRule>
  </conditionalFormatting>
  <conditionalFormatting sqref="S9">
    <cfRule type="expression" dxfId="77" priority="66">
      <formula>NOT(ISBLANK(S9))</formula>
    </cfRule>
  </conditionalFormatting>
  <conditionalFormatting sqref="V9:W9 Y9">
    <cfRule type="expression" dxfId="76" priority="65">
      <formula>NOT(ISBLANK(V9))</formula>
    </cfRule>
  </conditionalFormatting>
  <conditionalFormatting sqref="X9">
    <cfRule type="expression" dxfId="75" priority="64">
      <formula>NOT(ISBLANK(X9))</formula>
    </cfRule>
  </conditionalFormatting>
  <conditionalFormatting sqref="AN6:AO6 AS6:AT6 Z6 AE6 AK6:AL6">
    <cfRule type="expression" dxfId="74" priority="63">
      <formula>NOT(ISBLANK(Z6))</formula>
    </cfRule>
  </conditionalFormatting>
  <conditionalFormatting sqref="X7">
    <cfRule type="expression" dxfId="73" priority="62">
      <formula>NOT(ISBLANK(X7))</formula>
    </cfRule>
  </conditionalFormatting>
  <conditionalFormatting sqref="AR6">
    <cfRule type="expression" dxfId="72" priority="61">
      <formula>NOT(ISBLANK(AR6))</formula>
    </cfRule>
  </conditionalFormatting>
  <conditionalFormatting sqref="L8:M8 O8:P8">
    <cfRule type="expression" dxfId="71" priority="53">
      <formula>NOT(ISBLANK(L8))</formula>
    </cfRule>
  </conditionalFormatting>
  <conditionalFormatting sqref="N8">
    <cfRule type="expression" dxfId="70" priority="52">
      <formula>NOT(ISBLANK(N8))</formula>
    </cfRule>
  </conditionalFormatting>
  <conditionalFormatting sqref="AH7">
    <cfRule type="expression" dxfId="69" priority="60">
      <formula>NOT(ISBLANK(AH7))</formula>
    </cfRule>
  </conditionalFormatting>
  <conditionalFormatting sqref="AF9:AI9">
    <cfRule type="expression" dxfId="68" priority="59">
      <formula>NOT(ISBLANK(AF9))</formula>
    </cfRule>
  </conditionalFormatting>
  <conditionalFormatting sqref="AJ8">
    <cfRule type="expression" dxfId="67" priority="58">
      <formula>NOT(ISBLANK(AJ8))</formula>
    </cfRule>
  </conditionalFormatting>
  <conditionalFormatting sqref="AJ9">
    <cfRule type="expression" dxfId="66" priority="57">
      <formula>NOT(ISBLANK(AJ9))</formula>
    </cfRule>
  </conditionalFormatting>
  <conditionalFormatting sqref="AI6:AJ6 AF6:AG6">
    <cfRule type="expression" dxfId="65" priority="56">
      <formula>NOT(ISBLANK(AF6))</formula>
    </cfRule>
  </conditionalFormatting>
  <conditionalFormatting sqref="Q10:AE10 AK10:AQ10 AS10:AT10">
    <cfRule type="expression" dxfId="64" priority="49">
      <formula>NOT(ISBLANK(Q10))</formula>
    </cfRule>
  </conditionalFormatting>
  <conditionalFormatting sqref="Q10:R10 T10:U10 AE10 AO10 AT10 Z10">
    <cfRule type="expression" dxfId="63" priority="47">
      <formula>NOT(ISBLANK(Q10))</formula>
    </cfRule>
  </conditionalFormatting>
  <conditionalFormatting sqref="N4:N5">
    <cfRule type="expression" dxfId="62" priority="55">
      <formula>NOT(ISBLANK(N4))</formula>
    </cfRule>
  </conditionalFormatting>
  <conditionalFormatting sqref="N7">
    <cfRule type="expression" dxfId="61" priority="54">
      <formula>NOT(ISBLANK(N7))</formula>
    </cfRule>
  </conditionalFormatting>
  <conditionalFormatting sqref="L9:M9 O9:P9">
    <cfRule type="expression" dxfId="60" priority="51">
      <formula>NOT(ISBLANK(L9))</formula>
    </cfRule>
  </conditionalFormatting>
  <conditionalFormatting sqref="N9">
    <cfRule type="expression" dxfId="59" priority="50">
      <formula>NOT(ISBLANK(N9))</formula>
    </cfRule>
  </conditionalFormatting>
  <conditionalFormatting sqref="L10:M10 O10:P10">
    <cfRule type="expression" dxfId="58" priority="40">
      <formula>NOT(ISBLANK(L10))</formula>
    </cfRule>
  </conditionalFormatting>
  <conditionalFormatting sqref="N10">
    <cfRule type="expression" dxfId="57" priority="39">
      <formula>NOT(ISBLANK(N10))</formula>
    </cfRule>
  </conditionalFormatting>
  <conditionalFormatting sqref="AP10:AQ10 AS10">
    <cfRule type="expression" dxfId="56" priority="48">
      <formula>NOT(ISBLANK(AP10))</formula>
    </cfRule>
  </conditionalFormatting>
  <conditionalFormatting sqref="S10">
    <cfRule type="expression" dxfId="55" priority="46">
      <formula>NOT(ISBLANK(S10))</formula>
    </cfRule>
  </conditionalFormatting>
  <conditionalFormatting sqref="V10:W10 Y10">
    <cfRule type="expression" dxfId="54" priority="45">
      <formula>NOT(ISBLANK(V10))</formula>
    </cfRule>
  </conditionalFormatting>
  <conditionalFormatting sqref="X10">
    <cfRule type="expression" dxfId="53" priority="44">
      <formula>NOT(ISBLANK(X10))</formula>
    </cfRule>
  </conditionalFormatting>
  <conditionalFormatting sqref="V11:W11 Y11">
    <cfRule type="expression" dxfId="52" priority="34">
      <formula>NOT(ISBLANK(V11))</formula>
    </cfRule>
  </conditionalFormatting>
  <conditionalFormatting sqref="X11">
    <cfRule type="expression" dxfId="51" priority="33">
      <formula>NOT(ISBLANK(X11))</formula>
    </cfRule>
  </conditionalFormatting>
  <conditionalFormatting sqref="AF10:AJ10">
    <cfRule type="expression" dxfId="50" priority="43">
      <formula>NOT(ISBLANK(AF10))</formula>
    </cfRule>
  </conditionalFormatting>
  <conditionalFormatting sqref="AJ10">
    <cfRule type="expression" dxfId="49" priority="42">
      <formula>NOT(ISBLANK(AJ10))</formula>
    </cfRule>
  </conditionalFormatting>
  <conditionalFormatting sqref="AF11:AJ11">
    <cfRule type="expression" dxfId="48" priority="32">
      <formula>NOT(ISBLANK(AF11))</formula>
    </cfRule>
  </conditionalFormatting>
  <conditionalFormatting sqref="L10:P10">
    <cfRule type="expression" dxfId="47" priority="41">
      <formula>NOT(ISBLANK(L10))</formula>
    </cfRule>
  </conditionalFormatting>
  <conditionalFormatting sqref="L11:M11 O11:P11">
    <cfRule type="expression" dxfId="46" priority="29">
      <formula>NOT(ISBLANK(L11))</formula>
    </cfRule>
  </conditionalFormatting>
  <conditionalFormatting sqref="N11">
    <cfRule type="expression" dxfId="45" priority="28">
      <formula>NOT(ISBLANK(N11))</formula>
    </cfRule>
  </conditionalFormatting>
  <conditionalFormatting sqref="Q11:AE11 AK11:AT11">
    <cfRule type="expression" dxfId="44" priority="38">
      <formula>NOT(ISBLANK(Q11))</formula>
    </cfRule>
  </conditionalFormatting>
  <conditionalFormatting sqref="AP11:AS11">
    <cfRule type="expression" dxfId="43" priority="37">
      <formula>NOT(ISBLANK(AP11))</formula>
    </cfRule>
  </conditionalFormatting>
  <conditionalFormatting sqref="Q11:R11 T11:U11 AE11 AO11 AT11 Z11">
    <cfRule type="expression" dxfId="42" priority="36">
      <formula>NOT(ISBLANK(Q11))</formula>
    </cfRule>
  </conditionalFormatting>
  <conditionalFormatting sqref="S11">
    <cfRule type="expression" dxfId="41" priority="35">
      <formula>NOT(ISBLANK(S11))</formula>
    </cfRule>
  </conditionalFormatting>
  <conditionalFormatting sqref="X6">
    <cfRule type="expression" dxfId="40" priority="24">
      <formula>NOT(ISBLANK(X6))</formula>
    </cfRule>
  </conditionalFormatting>
  <conditionalFormatting sqref="AC7">
    <cfRule type="expression" dxfId="39" priority="23">
      <formula>NOT(ISBLANK(AC7))</formula>
    </cfRule>
  </conditionalFormatting>
  <conditionalFormatting sqref="AH8">
    <cfRule type="expression" dxfId="38" priority="22">
      <formula>NOT(ISBLANK(AH8))</formula>
    </cfRule>
  </conditionalFormatting>
  <conditionalFormatting sqref="AH8">
    <cfRule type="expression" dxfId="37" priority="21">
      <formula>NOT(ISBLANK(AH8))</formula>
    </cfRule>
  </conditionalFormatting>
  <conditionalFormatting sqref="AJ11">
    <cfRule type="expression" dxfId="36" priority="31">
      <formula>NOT(ISBLANK(AJ11))</formula>
    </cfRule>
  </conditionalFormatting>
  <conditionalFormatting sqref="AM8">
    <cfRule type="expression" dxfId="35" priority="19">
      <formula>NOT(ISBLANK(AM8))</formula>
    </cfRule>
  </conditionalFormatting>
  <conditionalFormatting sqref="L11:P11">
    <cfRule type="expression" dxfId="34" priority="30">
      <formula>NOT(ISBLANK(L11))</formula>
    </cfRule>
  </conditionalFormatting>
  <conditionalFormatting sqref="AR10">
    <cfRule type="expression" dxfId="33" priority="17">
      <formula>NOT(ISBLANK(AR10))</formula>
    </cfRule>
  </conditionalFormatting>
  <conditionalFormatting sqref="AR10">
    <cfRule type="expression" dxfId="32" priority="16">
      <formula>NOT(ISBLANK(AR10))</formula>
    </cfRule>
  </conditionalFormatting>
  <conditionalFormatting sqref="S5">
    <cfRule type="expression" dxfId="31" priority="27">
      <formula>NOT(ISBLANK(S5))</formula>
    </cfRule>
  </conditionalFormatting>
  <conditionalFormatting sqref="S5">
    <cfRule type="expression" dxfId="30" priority="26">
      <formula>NOT(ISBLANK(S5))</formula>
    </cfRule>
  </conditionalFormatting>
  <conditionalFormatting sqref="X6">
    <cfRule type="expression" dxfId="29" priority="25">
      <formula>NOT(ISBLANK(X6))</formula>
    </cfRule>
  </conditionalFormatting>
  <conditionalFormatting sqref="AM8">
    <cfRule type="expression" dxfId="28" priority="20">
      <formula>NOT(ISBLANK(AM8))</formula>
    </cfRule>
  </conditionalFormatting>
  <conditionalFormatting sqref="AR9">
    <cfRule type="expression" dxfId="27" priority="18">
      <formula>NOT(ISBLANK(AR9))</formula>
    </cfRule>
  </conditionalFormatting>
  <conditionalFormatting sqref="K11">
    <cfRule type="expression" dxfId="26" priority="1">
      <formula>NOT(ISBLANK(K11))</formula>
    </cfRule>
  </conditionalFormatting>
  <conditionalFormatting sqref="G12:K998 G4:K9">
    <cfRule type="expression" dxfId="25" priority="15">
      <formula>NOT(ISBLANK(G4))</formula>
    </cfRule>
  </conditionalFormatting>
  <conditionalFormatting sqref="I4:I5">
    <cfRule type="expression" dxfId="24" priority="14">
      <formula>NOT(ISBLANK(I4))</formula>
    </cfRule>
  </conditionalFormatting>
  <conditionalFormatting sqref="I7">
    <cfRule type="expression" dxfId="23" priority="13">
      <formula>NOT(ISBLANK(I7))</formula>
    </cfRule>
  </conditionalFormatting>
  <conditionalFormatting sqref="G8:H8 J8:K8">
    <cfRule type="expression" dxfId="22" priority="12">
      <formula>NOT(ISBLANK(G8))</formula>
    </cfRule>
  </conditionalFormatting>
  <conditionalFormatting sqref="I8">
    <cfRule type="expression" dxfId="21" priority="11">
      <formula>NOT(ISBLANK(I8))</formula>
    </cfRule>
  </conditionalFormatting>
  <conditionalFormatting sqref="G9:H9 J9:K9">
    <cfRule type="expression" dxfId="20" priority="10">
      <formula>NOT(ISBLANK(G9))</formula>
    </cfRule>
  </conditionalFormatting>
  <conditionalFormatting sqref="I9">
    <cfRule type="expression" dxfId="19" priority="9">
      <formula>NOT(ISBLANK(I9))</formula>
    </cfRule>
  </conditionalFormatting>
  <conditionalFormatting sqref="G10:J10">
    <cfRule type="expression" dxfId="18" priority="8">
      <formula>NOT(ISBLANK(G10))</formula>
    </cfRule>
  </conditionalFormatting>
  <conditionalFormatting sqref="G10:H10 J10">
    <cfRule type="expression" dxfId="17" priority="7">
      <formula>NOT(ISBLANK(G10))</formula>
    </cfRule>
  </conditionalFormatting>
  <conditionalFormatting sqref="I10">
    <cfRule type="expression" dxfId="16" priority="6">
      <formula>NOT(ISBLANK(I10))</formula>
    </cfRule>
  </conditionalFormatting>
  <conditionalFormatting sqref="G11:J11">
    <cfRule type="expression" dxfId="15" priority="5">
      <formula>NOT(ISBLANK(G11))</formula>
    </cfRule>
  </conditionalFormatting>
  <conditionalFormatting sqref="G11:H11 J11">
    <cfRule type="expression" dxfId="14" priority="4">
      <formula>NOT(ISBLANK(G11))</formula>
    </cfRule>
  </conditionalFormatting>
  <conditionalFormatting sqref="I11">
    <cfRule type="expression" dxfId="13" priority="3">
      <formula>NOT(ISBLANK(I11))</formula>
    </cfRule>
  </conditionalFormatting>
  <conditionalFormatting sqref="K10">
    <cfRule type="expression" dxfId="12" priority="2">
      <formula>NOT(ISBLANK(K10))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64" t="s">
        <v>391</v>
      </c>
      <c r="H1" s="64"/>
      <c r="I1" s="64"/>
      <c r="J1" s="64"/>
      <c r="K1" s="64"/>
      <c r="L1" s="63" t="s">
        <v>1506</v>
      </c>
      <c r="M1" s="64"/>
      <c r="N1" s="64"/>
      <c r="O1" s="64"/>
      <c r="P1" s="64"/>
      <c r="Q1" s="63" t="s">
        <v>1507</v>
      </c>
      <c r="R1" s="64"/>
      <c r="S1" s="64"/>
      <c r="T1" s="64"/>
      <c r="U1" s="64"/>
      <c r="V1" s="63" t="s">
        <v>390</v>
      </c>
      <c r="W1" s="64"/>
      <c r="X1" s="64"/>
      <c r="Y1" s="64"/>
      <c r="Z1" s="64"/>
      <c r="AA1" s="63" t="s">
        <v>1508</v>
      </c>
      <c r="AB1" s="64"/>
      <c r="AC1" s="64"/>
      <c r="AD1" s="64"/>
      <c r="AE1" s="64"/>
      <c r="AF1" s="63" t="s">
        <v>164</v>
      </c>
      <c r="AG1" s="64"/>
      <c r="AH1" s="64"/>
      <c r="AI1" s="64"/>
      <c r="AJ1" s="64"/>
      <c r="AK1" s="63" t="s">
        <v>398</v>
      </c>
      <c r="AL1" s="64"/>
      <c r="AM1" s="64"/>
      <c r="AN1" s="64"/>
      <c r="AO1" s="64"/>
      <c r="AP1" s="63" t="s">
        <v>1509</v>
      </c>
      <c r="AQ1" s="64"/>
      <c r="AR1" s="64"/>
      <c r="AS1" s="64"/>
      <c r="AT1" s="64"/>
      <c r="AU1" s="63" t="s">
        <v>11</v>
      </c>
      <c r="AV1" s="64"/>
      <c r="AW1" s="64"/>
      <c r="AX1" s="64"/>
      <c r="AY1" s="65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64" t="s">
        <v>186</v>
      </c>
      <c r="L1" s="64"/>
      <c r="M1" s="64"/>
      <c r="N1" s="64"/>
      <c r="O1" s="65"/>
      <c r="P1" s="20"/>
      <c r="Q1" s="63" t="s">
        <v>19</v>
      </c>
      <c r="R1" s="64"/>
      <c r="S1" s="64"/>
      <c r="T1" s="64"/>
      <c r="U1" s="65"/>
      <c r="V1" s="19"/>
      <c r="W1" s="63" t="s">
        <v>1507</v>
      </c>
      <c r="X1" s="64"/>
      <c r="Y1" s="64"/>
      <c r="Z1" s="64"/>
      <c r="AA1" s="64"/>
      <c r="AB1" s="19"/>
      <c r="AC1" s="63" t="s">
        <v>390</v>
      </c>
      <c r="AD1" s="64"/>
      <c r="AE1" s="64"/>
      <c r="AF1" s="64"/>
      <c r="AG1" s="64"/>
      <c r="AH1" s="63" t="s">
        <v>1508</v>
      </c>
      <c r="AI1" s="64"/>
      <c r="AJ1" s="64"/>
      <c r="AK1" s="64"/>
      <c r="AL1" s="64"/>
      <c r="AM1" s="63" t="s">
        <v>164</v>
      </c>
      <c r="AN1" s="64"/>
      <c r="AO1" s="64"/>
      <c r="AP1" s="64"/>
      <c r="AQ1" s="64"/>
      <c r="AR1" s="63" t="s">
        <v>398</v>
      </c>
      <c r="AS1" s="64"/>
      <c r="AT1" s="64"/>
      <c r="AU1" s="64"/>
      <c r="AV1" s="64"/>
      <c r="AW1" s="63" t="s">
        <v>1509</v>
      </c>
      <c r="AX1" s="64"/>
      <c r="AY1" s="64"/>
      <c r="AZ1" s="64"/>
      <c r="BA1" s="64"/>
      <c r="BB1" s="63" t="s">
        <v>11</v>
      </c>
      <c r="BC1" s="64"/>
      <c r="BD1" s="64"/>
      <c r="BE1" s="64"/>
      <c r="BF1" s="65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26</vt:i4>
      </vt:variant>
    </vt:vector>
  </HeadingPairs>
  <TitlesOfParts>
    <vt:vector size="26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Set.FeatureRequirements</vt:lpstr>
      <vt:lpstr>Set.FeatureTracking</vt:lpstr>
      <vt:lpstr>Set.DataHarmonization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2026-03-06T15:49:21Z</dcterms:modified>
</cp:coreProperties>
</file>